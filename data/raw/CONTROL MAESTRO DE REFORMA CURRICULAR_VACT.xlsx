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Reforma_Curricular/data/raw/"/>
    </mc:Choice>
  </mc:AlternateContent>
  <xr:revisionPtr revIDLastSave="23" documentId="13_ncr:1_{B8BFBAF1-F748-4AB8-822C-C39EA076A4B6}" xr6:coauthVersionLast="47" xr6:coauthVersionMax="47" xr10:uidLastSave="{D693352B-3190-475E-BFA4-123D764E7401}"/>
  <bookViews>
    <workbookView xWindow="-108" yWindow="-108" windowWidth="23256" windowHeight="12456" firstSheet="3" activeTab="3" xr2:uid="{5D2AA78B-CF8F-4F04-8CED-873384612ABA}"/>
  </bookViews>
  <sheets>
    <sheet name="Resumen Ejecutivo" sheetId="9" state="hidden" r:id="rId1"/>
    <sheet name="Dashboard" sheetId="7" state="hidden" r:id="rId2"/>
    <sheet name="Maestro" sheetId="8" state="hidden" r:id="rId3"/>
    <sheet name="Etapas" sheetId="18" r:id="rId4"/>
    <sheet name="Checklist" sheetId="19" r:id="rId5"/>
    <sheet name="Borrador (2)" sheetId="6" state="hidden" r:id="rId6"/>
    <sheet name="Hoja1" sheetId="1" state="hidden" r:id="rId7"/>
    <sheet name="Estructura" sheetId="10" state="hidden" r:id="rId8"/>
    <sheet name="_Listas" sheetId="11" state="hidden" r:id="rId9"/>
  </sheets>
  <externalReferences>
    <externalReference r:id="rId10"/>
  </externalReferences>
  <definedNames>
    <definedName name="_xlnm._FilterDatabase" localSheetId="5" hidden="1">'Borrador (2)'!$C$8:$AY$70</definedName>
    <definedName name="_xlnm._FilterDatabase" localSheetId="3" hidden="1">Etapas!$C$10:$AW$71</definedName>
    <definedName name="_xlnm._FilterDatabase" localSheetId="2" hidden="1">Maestro!$C$10:$BZ$10</definedName>
    <definedName name="TABLA_REV">[1]!Tabla2[#All]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8" l="1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AC13" i="18"/>
  <c r="AC14" i="18"/>
  <c r="AC15" i="18"/>
  <c r="AC16" i="18"/>
  <c r="AC17" i="18"/>
  <c r="AC18" i="18"/>
  <c r="AC19" i="18"/>
  <c r="AC20" i="18"/>
  <c r="AC21" i="18"/>
  <c r="AC22" i="18"/>
  <c r="AC23" i="18"/>
  <c r="AC24" i="18"/>
  <c r="AC25" i="18"/>
  <c r="AC26" i="18"/>
  <c r="AC27" i="18"/>
  <c r="AC28" i="18"/>
  <c r="AC29" i="18"/>
  <c r="AC30" i="18"/>
  <c r="AC31" i="18"/>
  <c r="AC32" i="18"/>
  <c r="AC33" i="18"/>
  <c r="AC34" i="18"/>
  <c r="AC35" i="18"/>
  <c r="AC36" i="18"/>
  <c r="AC37" i="18"/>
  <c r="AC38" i="18"/>
  <c r="AC39" i="18"/>
  <c r="AC40" i="18"/>
  <c r="AC41" i="18"/>
  <c r="AC42" i="18"/>
  <c r="AC43" i="18"/>
  <c r="AC44" i="18"/>
  <c r="AC45" i="18"/>
  <c r="AC46" i="18"/>
  <c r="AC47" i="18"/>
  <c r="AC48" i="18"/>
  <c r="AC49" i="18"/>
  <c r="AC50" i="18"/>
  <c r="AC51" i="18"/>
  <c r="AC52" i="18"/>
  <c r="AC53" i="18"/>
  <c r="AC54" i="18"/>
  <c r="AC55" i="18"/>
  <c r="AC56" i="18"/>
  <c r="AC57" i="18"/>
  <c r="AC58" i="18"/>
  <c r="AC59" i="18"/>
  <c r="AC60" i="18"/>
  <c r="AC61" i="18"/>
  <c r="AC62" i="18"/>
  <c r="AC63" i="18"/>
  <c r="AC64" i="18"/>
  <c r="AC65" i="18"/>
  <c r="AC66" i="18"/>
  <c r="AC67" i="18"/>
  <c r="AC68" i="18"/>
  <c r="AC69" i="18"/>
  <c r="AC70" i="18"/>
  <c r="AC71" i="18"/>
  <c r="AC12" i="18"/>
  <c r="AS13" i="18"/>
  <c r="AS14" i="18"/>
  <c r="AS15" i="18"/>
  <c r="AS16" i="18"/>
  <c r="AS17" i="18"/>
  <c r="AS18" i="18"/>
  <c r="AS19" i="18"/>
  <c r="AS20" i="18"/>
  <c r="AS21" i="18"/>
  <c r="AS22" i="18"/>
  <c r="AS23" i="18"/>
  <c r="AS24" i="18"/>
  <c r="AS25" i="18"/>
  <c r="AS26" i="18"/>
  <c r="AS27" i="18"/>
  <c r="AS28" i="18"/>
  <c r="AS29" i="18"/>
  <c r="AS30" i="18"/>
  <c r="AS31" i="18"/>
  <c r="AS32" i="18"/>
  <c r="AS33" i="18"/>
  <c r="AS34" i="18"/>
  <c r="AS35" i="18"/>
  <c r="AS36" i="18"/>
  <c r="AS37" i="18"/>
  <c r="AS38" i="18"/>
  <c r="AS39" i="18"/>
  <c r="AS40" i="18"/>
  <c r="AS41" i="18"/>
  <c r="AS42" i="18"/>
  <c r="AS43" i="18"/>
  <c r="AS44" i="18"/>
  <c r="AS45" i="18"/>
  <c r="AS46" i="18"/>
  <c r="AS47" i="18"/>
  <c r="AS48" i="18"/>
  <c r="AS49" i="18"/>
  <c r="AS50" i="18"/>
  <c r="AS51" i="18"/>
  <c r="AS52" i="18"/>
  <c r="AS53" i="18"/>
  <c r="AS54" i="18"/>
  <c r="AS55" i="18"/>
  <c r="AS56" i="18"/>
  <c r="AS57" i="18"/>
  <c r="AS58" i="18"/>
  <c r="AS59" i="18"/>
  <c r="AS60" i="18"/>
  <c r="AS61" i="18"/>
  <c r="AS62" i="18"/>
  <c r="AS63" i="18"/>
  <c r="AS64" i="18"/>
  <c r="AS65" i="18"/>
  <c r="AS66" i="18"/>
  <c r="AS67" i="18"/>
  <c r="AS68" i="18"/>
  <c r="AS69" i="18"/>
  <c r="AS70" i="18"/>
  <c r="AS71" i="18"/>
  <c r="AS12" i="18"/>
  <c r="AV13" i="18"/>
  <c r="AV14" i="18"/>
  <c r="AV15" i="18"/>
  <c r="AV16" i="18"/>
  <c r="AV17" i="18"/>
  <c r="AV18" i="18"/>
  <c r="AV19" i="18"/>
  <c r="AV20" i="18"/>
  <c r="AV21" i="18"/>
  <c r="AV22" i="18"/>
  <c r="AV23" i="18"/>
  <c r="AV24" i="18"/>
  <c r="AV25" i="18"/>
  <c r="AV26" i="18"/>
  <c r="AV27" i="18"/>
  <c r="AV28" i="18"/>
  <c r="AV29" i="18"/>
  <c r="AV30" i="18"/>
  <c r="AV31" i="18"/>
  <c r="AV32" i="18"/>
  <c r="AV33" i="18"/>
  <c r="AV34" i="18"/>
  <c r="AV35" i="18"/>
  <c r="AV36" i="18"/>
  <c r="AV37" i="18"/>
  <c r="AV38" i="18"/>
  <c r="AW38" i="18" s="1"/>
  <c r="AV39" i="18"/>
  <c r="AV40" i="18"/>
  <c r="AV41" i="18"/>
  <c r="AV42" i="18"/>
  <c r="AV43" i="18"/>
  <c r="AV44" i="18"/>
  <c r="AV45" i="18"/>
  <c r="AV46" i="18"/>
  <c r="AV47" i="18"/>
  <c r="AV48" i="18"/>
  <c r="AV49" i="18"/>
  <c r="AV50" i="18"/>
  <c r="AW50" i="18" s="1"/>
  <c r="AV51" i="18"/>
  <c r="AV52" i="18"/>
  <c r="AV53" i="18"/>
  <c r="AV54" i="18"/>
  <c r="AV55" i="18"/>
  <c r="AV56" i="18"/>
  <c r="AV57" i="18"/>
  <c r="AV58" i="18"/>
  <c r="AV59" i="18"/>
  <c r="AV60" i="18"/>
  <c r="AV61" i="18"/>
  <c r="AV62" i="18"/>
  <c r="AV63" i="18"/>
  <c r="AV64" i="18"/>
  <c r="AV65" i="18"/>
  <c r="AV66" i="18"/>
  <c r="AV67" i="18"/>
  <c r="AV68" i="18"/>
  <c r="AV69" i="18"/>
  <c r="AV70" i="18"/>
  <c r="AV71" i="18"/>
  <c r="AV12" i="18"/>
  <c r="BD65" i="8" a="1"/>
  <c r="BD65" i="8" s="1"/>
  <c r="BD67" i="8" a="1"/>
  <c r="BD67" i="8" s="1"/>
  <c r="BG29" i="8" a="1"/>
  <c r="BG29" i="8" s="1"/>
  <c r="BD48" i="8" a="1"/>
  <c r="BD48" i="8" s="1"/>
  <c r="BE48" i="8" a="1"/>
  <c r="BE48" i="8" s="1"/>
  <c r="BD33" i="8" a="1"/>
  <c r="BD33" i="8" s="1"/>
  <c r="BD29" i="8" a="1"/>
  <c r="BD29" i="8" s="1"/>
  <c r="BE29" i="8" a="1"/>
  <c r="BE29" i="8" s="1"/>
  <c r="BG53" i="8" a="1"/>
  <c r="BG53" i="8" s="1"/>
  <c r="BP12" i="8" a="1"/>
  <c r="BP12" i="8" s="1"/>
  <c r="BP13" i="8" a="1"/>
  <c r="BP13" i="8" s="1"/>
  <c r="BP14" i="8" a="1"/>
  <c r="BP14" i="8" s="1"/>
  <c r="BP15" i="8" a="1"/>
  <c r="BP15" i="8" s="1"/>
  <c r="BP16" i="8" a="1"/>
  <c r="BP16" i="8" s="1"/>
  <c r="BP17" i="8" a="1"/>
  <c r="BP17" i="8" s="1"/>
  <c r="BP18" i="8" a="1"/>
  <c r="BP18" i="8" s="1"/>
  <c r="BP19" i="8" a="1"/>
  <c r="BP19" i="8" s="1"/>
  <c r="BP20" i="8" a="1"/>
  <c r="BP20" i="8" s="1"/>
  <c r="BP21" i="8" a="1"/>
  <c r="BP21" i="8" s="1"/>
  <c r="BP22" i="8" a="1"/>
  <c r="BP22" i="8" s="1"/>
  <c r="BP23" i="8" a="1"/>
  <c r="BP23" i="8" s="1"/>
  <c r="BP24" i="8" a="1"/>
  <c r="BP24" i="8" s="1"/>
  <c r="BP25" i="8" a="1"/>
  <c r="BP25" i="8" s="1"/>
  <c r="BP26" i="8" a="1"/>
  <c r="BP26" i="8" s="1"/>
  <c r="BP27" i="8" a="1"/>
  <c r="BP27" i="8" s="1"/>
  <c r="BP28" i="8" a="1"/>
  <c r="BP28" i="8" s="1"/>
  <c r="BP29" i="8" a="1"/>
  <c r="BP29" i="8" s="1"/>
  <c r="BP30" i="8" a="1"/>
  <c r="BP30" i="8" s="1"/>
  <c r="BP31" i="8" a="1"/>
  <c r="BP31" i="8" s="1"/>
  <c r="BP32" i="8" a="1"/>
  <c r="BP32" i="8" s="1"/>
  <c r="BP33" i="8" a="1"/>
  <c r="BP33" i="8" s="1"/>
  <c r="BP34" i="8" a="1"/>
  <c r="BP34" i="8" s="1"/>
  <c r="BP35" i="8" a="1"/>
  <c r="BP35" i="8" s="1"/>
  <c r="BP36" i="8" a="1"/>
  <c r="BP36" i="8" s="1"/>
  <c r="BP37" i="8" a="1"/>
  <c r="BP37" i="8" s="1"/>
  <c r="BP38" i="8" a="1"/>
  <c r="BP38" i="8" s="1"/>
  <c r="BP39" i="8" a="1"/>
  <c r="BP39" i="8" s="1"/>
  <c r="BP40" i="8" a="1"/>
  <c r="BP40" i="8" s="1"/>
  <c r="BP41" i="8" a="1"/>
  <c r="BP41" i="8" s="1"/>
  <c r="BP42" i="8" a="1"/>
  <c r="BP42" i="8" s="1"/>
  <c r="BP43" i="8" a="1"/>
  <c r="BP43" i="8" s="1"/>
  <c r="BP44" i="8" a="1"/>
  <c r="BP44" i="8" s="1"/>
  <c r="BP45" i="8" a="1"/>
  <c r="BP45" i="8" s="1"/>
  <c r="BP46" i="8" a="1"/>
  <c r="BP46" i="8" s="1"/>
  <c r="BP47" i="8" a="1"/>
  <c r="BP47" i="8" s="1"/>
  <c r="BP48" i="8" a="1"/>
  <c r="BP48" i="8" s="1"/>
  <c r="BP49" i="8" a="1"/>
  <c r="BP49" i="8" s="1"/>
  <c r="BP50" i="8" a="1"/>
  <c r="BP50" i="8" s="1"/>
  <c r="BP51" i="8" a="1"/>
  <c r="BP51" i="8" s="1"/>
  <c r="BP52" i="8" a="1"/>
  <c r="BP52" i="8" s="1"/>
  <c r="BP53" i="8" a="1"/>
  <c r="BP53" i="8" s="1"/>
  <c r="BP54" i="8" a="1"/>
  <c r="BP54" i="8" s="1"/>
  <c r="BP55" i="8" a="1"/>
  <c r="BP55" i="8" s="1"/>
  <c r="BP56" i="8" a="1"/>
  <c r="BP56" i="8" s="1"/>
  <c r="BP57" i="8" a="1"/>
  <c r="BP57" i="8" s="1"/>
  <c r="BP58" i="8" a="1"/>
  <c r="BP58" i="8" s="1"/>
  <c r="BP59" i="8" a="1"/>
  <c r="BP59" i="8" s="1"/>
  <c r="BP60" i="8" a="1"/>
  <c r="BP60" i="8" s="1"/>
  <c r="BP61" i="8" a="1"/>
  <c r="BP61" i="8" s="1"/>
  <c r="BP62" i="8" a="1"/>
  <c r="BP62" i="8" s="1"/>
  <c r="BP63" i="8" a="1"/>
  <c r="BP63" i="8" s="1"/>
  <c r="BP64" i="8" a="1"/>
  <c r="BP64" i="8" s="1"/>
  <c r="BP65" i="8" a="1"/>
  <c r="BP65" i="8" s="1"/>
  <c r="BP66" i="8" a="1"/>
  <c r="BP66" i="8" s="1"/>
  <c r="BP67" i="8" a="1"/>
  <c r="BP67" i="8" s="1"/>
  <c r="BP68" i="8" a="1"/>
  <c r="BP68" i="8" s="1"/>
  <c r="BP69" i="8" a="1"/>
  <c r="BP69" i="8" s="1"/>
  <c r="BL12" i="8" a="1"/>
  <c r="BL12" i="8" s="1"/>
  <c r="BL13" i="8" a="1"/>
  <c r="BL13" i="8" s="1"/>
  <c r="BL14" i="8" a="1"/>
  <c r="BL14" i="8" s="1"/>
  <c r="BL15" i="8" a="1"/>
  <c r="BL15" i="8" s="1"/>
  <c r="BL16" i="8" a="1"/>
  <c r="BL16" i="8" s="1"/>
  <c r="BL17" i="8" a="1"/>
  <c r="BL17" i="8" s="1"/>
  <c r="BL18" i="8" a="1"/>
  <c r="BL18" i="8" s="1"/>
  <c r="BL19" i="8" a="1"/>
  <c r="BL19" i="8" s="1"/>
  <c r="BL20" i="8" a="1"/>
  <c r="BL20" i="8" s="1"/>
  <c r="BL21" i="8" a="1"/>
  <c r="BL21" i="8" s="1"/>
  <c r="BL22" i="8" a="1"/>
  <c r="BL22" i="8" s="1"/>
  <c r="BL23" i="8" a="1"/>
  <c r="BL23" i="8" s="1"/>
  <c r="BL24" i="8" a="1"/>
  <c r="BL24" i="8" s="1"/>
  <c r="BL25" i="8" a="1"/>
  <c r="BL25" i="8" s="1"/>
  <c r="BL26" i="8" a="1"/>
  <c r="BL26" i="8" s="1"/>
  <c r="BL27" i="8" a="1"/>
  <c r="BL27" i="8" s="1"/>
  <c r="BL28" i="8" a="1"/>
  <c r="BL28" i="8" s="1"/>
  <c r="BL29" i="8" a="1"/>
  <c r="BL29" i="8" s="1"/>
  <c r="BL30" i="8" a="1"/>
  <c r="BL30" i="8" s="1"/>
  <c r="BL31" i="8" a="1"/>
  <c r="BL31" i="8" s="1"/>
  <c r="BL32" i="8" a="1"/>
  <c r="BL32" i="8" s="1"/>
  <c r="BL33" i="8" a="1"/>
  <c r="BL33" i="8" s="1"/>
  <c r="BL34" i="8" a="1"/>
  <c r="BL34" i="8" s="1"/>
  <c r="BL35" i="8" a="1"/>
  <c r="BL35" i="8" s="1"/>
  <c r="BL36" i="8" a="1"/>
  <c r="BL36" i="8" s="1"/>
  <c r="BL37" i="8" a="1"/>
  <c r="BL37" i="8" s="1"/>
  <c r="BL38" i="8" a="1"/>
  <c r="BL38" i="8" s="1"/>
  <c r="BL39" i="8" a="1"/>
  <c r="BL39" i="8" s="1"/>
  <c r="BL40" i="8" a="1"/>
  <c r="BL40" i="8" s="1"/>
  <c r="BL41" i="8" a="1"/>
  <c r="BL41" i="8" s="1"/>
  <c r="BL42" i="8" a="1"/>
  <c r="BL42" i="8" s="1"/>
  <c r="BL43" i="8" a="1"/>
  <c r="BL43" i="8" s="1"/>
  <c r="BL44" i="8" a="1"/>
  <c r="BL44" i="8" s="1"/>
  <c r="BL45" i="8" a="1"/>
  <c r="BL45" i="8" s="1"/>
  <c r="BL46" i="8" a="1"/>
  <c r="BL46" i="8" s="1"/>
  <c r="BL47" i="8" a="1"/>
  <c r="BL47" i="8" s="1"/>
  <c r="BL48" i="8" a="1"/>
  <c r="BL48" i="8" s="1"/>
  <c r="BL49" i="8" a="1"/>
  <c r="BL49" i="8" s="1"/>
  <c r="BL50" i="8" a="1"/>
  <c r="BL50" i="8" s="1"/>
  <c r="BL51" i="8" a="1"/>
  <c r="BL51" i="8" s="1"/>
  <c r="BL52" i="8" a="1"/>
  <c r="BL52" i="8" s="1"/>
  <c r="BL53" i="8" a="1"/>
  <c r="BL53" i="8" s="1"/>
  <c r="BL54" i="8" a="1"/>
  <c r="BL54" i="8" s="1"/>
  <c r="BL55" i="8" a="1"/>
  <c r="BL55" i="8" s="1"/>
  <c r="BL56" i="8" a="1"/>
  <c r="BL56" i="8" s="1"/>
  <c r="BL57" i="8" a="1"/>
  <c r="BL57" i="8" s="1"/>
  <c r="BL58" i="8" a="1"/>
  <c r="BL58" i="8" s="1"/>
  <c r="BL59" i="8" a="1"/>
  <c r="BL59" i="8" s="1"/>
  <c r="BL60" i="8" a="1"/>
  <c r="BL60" i="8" s="1"/>
  <c r="BL61" i="8" a="1"/>
  <c r="BL61" i="8" s="1"/>
  <c r="BL62" i="8" a="1"/>
  <c r="BL62" i="8" s="1"/>
  <c r="BL63" i="8" a="1"/>
  <c r="BL63" i="8" s="1"/>
  <c r="BL64" i="8" a="1"/>
  <c r="BL64" i="8" s="1"/>
  <c r="BL65" i="8" a="1"/>
  <c r="BL65" i="8" s="1"/>
  <c r="BL66" i="8" a="1"/>
  <c r="BL66" i="8" s="1"/>
  <c r="BL67" i="8" a="1"/>
  <c r="BL67" i="8" s="1"/>
  <c r="BL68" i="8" a="1"/>
  <c r="BL68" i="8" s="1"/>
  <c r="BL69" i="8" a="1"/>
  <c r="BL69" i="8" s="1"/>
  <c r="BK12" i="8" a="1"/>
  <c r="BK12" i="8" s="1"/>
  <c r="BK13" i="8" a="1"/>
  <c r="BK13" i="8" s="1"/>
  <c r="BK14" i="8" a="1"/>
  <c r="BK14" i="8" s="1"/>
  <c r="BK15" i="8" a="1"/>
  <c r="BK15" i="8" s="1"/>
  <c r="BK16" i="8" a="1"/>
  <c r="BK16" i="8" s="1"/>
  <c r="BK17" i="8" a="1"/>
  <c r="BK17" i="8" s="1"/>
  <c r="BK18" i="8" a="1"/>
  <c r="BK18" i="8" s="1"/>
  <c r="BK19" i="8" a="1"/>
  <c r="BK19" i="8" s="1"/>
  <c r="BK20" i="8" a="1"/>
  <c r="BK20" i="8" s="1"/>
  <c r="BK21" i="8" a="1"/>
  <c r="BK21" i="8" s="1"/>
  <c r="BK22" i="8" a="1"/>
  <c r="BK22" i="8" s="1"/>
  <c r="BK23" i="8" a="1"/>
  <c r="BK23" i="8" s="1"/>
  <c r="BK24" i="8" a="1"/>
  <c r="BK24" i="8" s="1"/>
  <c r="BK25" i="8" a="1"/>
  <c r="BK25" i="8" s="1"/>
  <c r="BK26" i="8" a="1"/>
  <c r="BK26" i="8" s="1"/>
  <c r="BK27" i="8" a="1"/>
  <c r="BK27" i="8" s="1"/>
  <c r="BK28" i="8" a="1"/>
  <c r="BK28" i="8" s="1"/>
  <c r="BK29" i="8" a="1"/>
  <c r="BK29" i="8" s="1"/>
  <c r="BK30" i="8" a="1"/>
  <c r="BK30" i="8" s="1"/>
  <c r="BK31" i="8" a="1"/>
  <c r="BK31" i="8" s="1"/>
  <c r="BK32" i="8" a="1"/>
  <c r="BK32" i="8" s="1"/>
  <c r="BK33" i="8" a="1"/>
  <c r="BK33" i="8" s="1"/>
  <c r="BK34" i="8" a="1"/>
  <c r="BK34" i="8" s="1"/>
  <c r="BK35" i="8" a="1"/>
  <c r="BK35" i="8" s="1"/>
  <c r="BK36" i="8" a="1"/>
  <c r="BK36" i="8" s="1"/>
  <c r="BK37" i="8" a="1"/>
  <c r="BK37" i="8" s="1"/>
  <c r="BK38" i="8" a="1"/>
  <c r="BK38" i="8" s="1"/>
  <c r="BK39" i="8" a="1"/>
  <c r="BK39" i="8" s="1"/>
  <c r="BK40" i="8" a="1"/>
  <c r="BK40" i="8" s="1"/>
  <c r="BK41" i="8" a="1"/>
  <c r="BK41" i="8" s="1"/>
  <c r="BK42" i="8" a="1"/>
  <c r="BK42" i="8" s="1"/>
  <c r="BK43" i="8" a="1"/>
  <c r="BK43" i="8" s="1"/>
  <c r="BK44" i="8" a="1"/>
  <c r="BK44" i="8" s="1"/>
  <c r="BK45" i="8" a="1"/>
  <c r="BK45" i="8" s="1"/>
  <c r="BK46" i="8" a="1"/>
  <c r="BK46" i="8" s="1"/>
  <c r="BK47" i="8" a="1"/>
  <c r="BK47" i="8" s="1"/>
  <c r="BK48" i="8" a="1"/>
  <c r="BK48" i="8" s="1"/>
  <c r="BK49" i="8" a="1"/>
  <c r="BK49" i="8" s="1"/>
  <c r="BK50" i="8" a="1"/>
  <c r="BK50" i="8" s="1"/>
  <c r="BK51" i="8" a="1"/>
  <c r="BK51" i="8" s="1"/>
  <c r="BK52" i="8" a="1"/>
  <c r="BK52" i="8" s="1"/>
  <c r="BK53" i="8" a="1"/>
  <c r="BK53" i="8" s="1"/>
  <c r="BK54" i="8" a="1"/>
  <c r="BK54" i="8" s="1"/>
  <c r="BK55" i="8" a="1"/>
  <c r="BK55" i="8" s="1"/>
  <c r="BK56" i="8" a="1"/>
  <c r="BK56" i="8" s="1"/>
  <c r="BK57" i="8" a="1"/>
  <c r="BK57" i="8" s="1"/>
  <c r="BK58" i="8" a="1"/>
  <c r="BK58" i="8" s="1"/>
  <c r="BK59" i="8" a="1"/>
  <c r="BK59" i="8" s="1"/>
  <c r="BK60" i="8" a="1"/>
  <c r="BK60" i="8" s="1"/>
  <c r="BK61" i="8" a="1"/>
  <c r="BK61" i="8" s="1"/>
  <c r="BK62" i="8" a="1"/>
  <c r="BK62" i="8" s="1"/>
  <c r="BK63" i="8" a="1"/>
  <c r="BK63" i="8" s="1"/>
  <c r="BK64" i="8" a="1"/>
  <c r="BK64" i="8" s="1"/>
  <c r="BK65" i="8" a="1"/>
  <c r="BK65" i="8" s="1"/>
  <c r="BK66" i="8" a="1"/>
  <c r="BK66" i="8" s="1"/>
  <c r="BK67" i="8" a="1"/>
  <c r="BK67" i="8" s="1"/>
  <c r="BK68" i="8" a="1"/>
  <c r="BK68" i="8" s="1"/>
  <c r="BK69" i="8" a="1"/>
  <c r="BK69" i="8" s="1"/>
  <c r="BJ15" i="8" a="1"/>
  <c r="BJ15" i="8" s="1"/>
  <c r="BJ16" i="8" a="1"/>
  <c r="BJ16" i="8" s="1"/>
  <c r="BJ18" i="8" a="1"/>
  <c r="BJ18" i="8" s="1"/>
  <c r="BJ19" i="8" a="1"/>
  <c r="BJ19" i="8" s="1"/>
  <c r="BJ20" i="8" a="1"/>
  <c r="BJ20" i="8" s="1"/>
  <c r="BJ21" i="8" a="1"/>
  <c r="BJ21" i="8" s="1"/>
  <c r="BJ24" i="8" a="1"/>
  <c r="BJ24" i="8" s="1"/>
  <c r="BJ26" i="8" a="1"/>
  <c r="BJ26" i="8" s="1"/>
  <c r="BJ29" i="8" a="1"/>
  <c r="BJ29" i="8" s="1"/>
  <c r="BJ32" i="8" a="1"/>
  <c r="BJ32" i="8" s="1"/>
  <c r="BJ33" i="8" a="1"/>
  <c r="BJ33" i="8" s="1"/>
  <c r="BJ34" i="8" a="1"/>
  <c r="BJ34" i="8" s="1"/>
  <c r="BJ37" i="8" a="1"/>
  <c r="BJ37" i="8" s="1"/>
  <c r="BJ41" i="8" a="1"/>
  <c r="BJ41" i="8" s="1"/>
  <c r="BJ44" i="8" a="1"/>
  <c r="BJ44" i="8" s="1"/>
  <c r="BJ45" i="8" a="1"/>
  <c r="BJ45" i="8" s="1"/>
  <c r="BJ48" i="8" a="1"/>
  <c r="BJ48" i="8" s="1"/>
  <c r="BJ49" i="8" a="1"/>
  <c r="BJ49" i="8" s="1"/>
  <c r="BJ51" i="8" a="1"/>
  <c r="BJ51" i="8" s="1"/>
  <c r="BJ52" i="8" a="1"/>
  <c r="BJ52" i="8" s="1"/>
  <c r="BJ54" i="8" a="1"/>
  <c r="BJ54" i="8" s="1"/>
  <c r="BJ57" i="8" a="1"/>
  <c r="BJ57" i="8" s="1"/>
  <c r="BJ58" i="8" a="1"/>
  <c r="BJ58" i="8" s="1"/>
  <c r="BJ59" i="8" a="1"/>
  <c r="BJ59" i="8" s="1"/>
  <c r="BJ60" i="8" a="1"/>
  <c r="BJ60" i="8" s="1"/>
  <c r="BJ62" i="8" a="1"/>
  <c r="BJ62" i="8" s="1"/>
  <c r="BJ65" i="8" a="1"/>
  <c r="BJ65" i="8" s="1"/>
  <c r="BJ66" i="8" a="1"/>
  <c r="BJ66" i="8" s="1"/>
  <c r="BJ67" i="8" a="1"/>
  <c r="BJ67" i="8" s="1"/>
  <c r="BI12" i="8" a="1"/>
  <c r="BI12" i="8" s="1"/>
  <c r="BI13" i="8" a="1"/>
  <c r="BI13" i="8" s="1"/>
  <c r="BI14" i="8" a="1"/>
  <c r="BI14" i="8" s="1"/>
  <c r="BI15" i="8" a="1"/>
  <c r="BI15" i="8" s="1"/>
  <c r="BI16" i="8" a="1"/>
  <c r="BI16" i="8" s="1"/>
  <c r="BI17" i="8" a="1"/>
  <c r="BI17" i="8" s="1"/>
  <c r="BI18" i="8" a="1"/>
  <c r="BI18" i="8" s="1"/>
  <c r="BI19" i="8" a="1"/>
  <c r="BI19" i="8" s="1"/>
  <c r="BI20" i="8" a="1"/>
  <c r="BI20" i="8" s="1"/>
  <c r="BI21" i="8" a="1"/>
  <c r="BI21" i="8" s="1"/>
  <c r="BI22" i="8" a="1"/>
  <c r="BI22" i="8" s="1"/>
  <c r="BI23" i="8" a="1"/>
  <c r="BI23" i="8" s="1"/>
  <c r="BI24" i="8" a="1"/>
  <c r="BI24" i="8" s="1"/>
  <c r="BI25" i="8" a="1"/>
  <c r="BI25" i="8" s="1"/>
  <c r="BI26" i="8" a="1"/>
  <c r="BI26" i="8" s="1"/>
  <c r="BI27" i="8" a="1"/>
  <c r="BI27" i="8" s="1"/>
  <c r="BI28" i="8" a="1"/>
  <c r="BI28" i="8" s="1"/>
  <c r="BI29" i="8" a="1"/>
  <c r="BI29" i="8" s="1"/>
  <c r="BI30" i="8" a="1"/>
  <c r="BI30" i="8" s="1"/>
  <c r="BI31" i="8" a="1"/>
  <c r="BI31" i="8" s="1"/>
  <c r="BI32" i="8" a="1"/>
  <c r="BI32" i="8" s="1"/>
  <c r="BI33" i="8" a="1"/>
  <c r="BI33" i="8" s="1"/>
  <c r="BI34" i="8" a="1"/>
  <c r="BI34" i="8" s="1"/>
  <c r="BI35" i="8" a="1"/>
  <c r="BI35" i="8" s="1"/>
  <c r="BI36" i="8" a="1"/>
  <c r="BI36" i="8" s="1"/>
  <c r="BI37" i="8" a="1"/>
  <c r="BI37" i="8" s="1"/>
  <c r="BI38" i="8" a="1"/>
  <c r="BI38" i="8" s="1"/>
  <c r="BI39" i="8" a="1"/>
  <c r="BI39" i="8" s="1"/>
  <c r="BI40" i="8" a="1"/>
  <c r="BI40" i="8" s="1"/>
  <c r="BI41" i="8" a="1"/>
  <c r="BI41" i="8" s="1"/>
  <c r="BI42" i="8" a="1"/>
  <c r="BI42" i="8" s="1"/>
  <c r="BI43" i="8" a="1"/>
  <c r="BI43" i="8" s="1"/>
  <c r="BI44" i="8" a="1"/>
  <c r="BI44" i="8" s="1"/>
  <c r="BI45" i="8" a="1"/>
  <c r="BI45" i="8" s="1"/>
  <c r="BI46" i="8" a="1"/>
  <c r="BI46" i="8" s="1"/>
  <c r="BI47" i="8" a="1"/>
  <c r="BI47" i="8" s="1"/>
  <c r="BI48" i="8" a="1"/>
  <c r="BI48" i="8" s="1"/>
  <c r="BI49" i="8" a="1"/>
  <c r="BI49" i="8" s="1"/>
  <c r="BI50" i="8" a="1"/>
  <c r="BI50" i="8" s="1"/>
  <c r="BI51" i="8" a="1"/>
  <c r="BI51" i="8" s="1"/>
  <c r="BI52" i="8" a="1"/>
  <c r="BI52" i="8" s="1"/>
  <c r="BI53" i="8" a="1"/>
  <c r="BI53" i="8" s="1"/>
  <c r="BI54" i="8" a="1"/>
  <c r="BI54" i="8" s="1"/>
  <c r="BI55" i="8" a="1"/>
  <c r="BI55" i="8" s="1"/>
  <c r="BI56" i="8" a="1"/>
  <c r="BI56" i="8" s="1"/>
  <c r="BI57" i="8" a="1"/>
  <c r="BI57" i="8" s="1"/>
  <c r="BI58" i="8" a="1"/>
  <c r="BI58" i="8" s="1"/>
  <c r="BI59" i="8" a="1"/>
  <c r="BI59" i="8" s="1"/>
  <c r="BI60" i="8" a="1"/>
  <c r="BI60" i="8" s="1"/>
  <c r="BI61" i="8" a="1"/>
  <c r="BI61" i="8" s="1"/>
  <c r="BI62" i="8" a="1"/>
  <c r="BI62" i="8" s="1"/>
  <c r="BI63" i="8" a="1"/>
  <c r="BI63" i="8" s="1"/>
  <c r="BI64" i="8" a="1"/>
  <c r="BI64" i="8" s="1"/>
  <c r="BI65" i="8" a="1"/>
  <c r="BI65" i="8" s="1"/>
  <c r="BI66" i="8" a="1"/>
  <c r="BI66" i="8" s="1"/>
  <c r="BI67" i="8" a="1"/>
  <c r="BI67" i="8" s="1"/>
  <c r="BI68" i="8" a="1"/>
  <c r="BI68" i="8" s="1"/>
  <c r="BI69" i="8" a="1"/>
  <c r="BI69" i="8" s="1"/>
  <c r="BH12" i="8" a="1"/>
  <c r="BH12" i="8" s="1"/>
  <c r="BH13" i="8" a="1"/>
  <c r="BH13" i="8" s="1"/>
  <c r="BH14" i="8" a="1"/>
  <c r="BH14" i="8" s="1"/>
  <c r="BH15" i="8" a="1"/>
  <c r="BH15" i="8" s="1"/>
  <c r="BH16" i="8" a="1"/>
  <c r="BH16" i="8" s="1"/>
  <c r="BH17" i="8" a="1"/>
  <c r="BH17" i="8" s="1"/>
  <c r="BH18" i="8" a="1"/>
  <c r="BH18" i="8" s="1"/>
  <c r="BH19" i="8" a="1"/>
  <c r="BH19" i="8" s="1"/>
  <c r="BH20" i="8" a="1"/>
  <c r="BH20" i="8" s="1"/>
  <c r="BH21" i="8" a="1"/>
  <c r="BH21" i="8" s="1"/>
  <c r="BH22" i="8" a="1"/>
  <c r="BH22" i="8" s="1"/>
  <c r="BH23" i="8" a="1"/>
  <c r="BH23" i="8" s="1"/>
  <c r="BH24" i="8" a="1"/>
  <c r="BH24" i="8" s="1"/>
  <c r="BH25" i="8" a="1"/>
  <c r="BH25" i="8" s="1"/>
  <c r="BH26" i="8" a="1"/>
  <c r="BH26" i="8" s="1"/>
  <c r="BH27" i="8" a="1"/>
  <c r="BH27" i="8" s="1"/>
  <c r="BH28" i="8" a="1"/>
  <c r="BH28" i="8" s="1"/>
  <c r="BH29" i="8" a="1"/>
  <c r="BH29" i="8" s="1"/>
  <c r="BH30" i="8" a="1"/>
  <c r="BH30" i="8" s="1"/>
  <c r="BH31" i="8" a="1"/>
  <c r="BH31" i="8" s="1"/>
  <c r="BH32" i="8" a="1"/>
  <c r="BH32" i="8" s="1"/>
  <c r="BH33" i="8" a="1"/>
  <c r="BH33" i="8" s="1"/>
  <c r="BH34" i="8" a="1"/>
  <c r="BH34" i="8" s="1"/>
  <c r="BH35" i="8" a="1"/>
  <c r="BH35" i="8" s="1"/>
  <c r="BH36" i="8" a="1"/>
  <c r="BH36" i="8" s="1"/>
  <c r="BH37" i="8" a="1"/>
  <c r="BH37" i="8" s="1"/>
  <c r="BH38" i="8" a="1"/>
  <c r="BH38" i="8" s="1"/>
  <c r="BH39" i="8" a="1"/>
  <c r="BH39" i="8" s="1"/>
  <c r="BH40" i="8" a="1"/>
  <c r="BH40" i="8" s="1"/>
  <c r="BH41" i="8" a="1"/>
  <c r="BH41" i="8" s="1"/>
  <c r="BH42" i="8" a="1"/>
  <c r="BH42" i="8" s="1"/>
  <c r="BH43" i="8" a="1"/>
  <c r="BH43" i="8" s="1"/>
  <c r="BH44" i="8" a="1"/>
  <c r="BH44" i="8" s="1"/>
  <c r="BH45" i="8" a="1"/>
  <c r="BH45" i="8" s="1"/>
  <c r="BH46" i="8" a="1"/>
  <c r="BH46" i="8" s="1"/>
  <c r="BH47" i="8" a="1"/>
  <c r="BH47" i="8" s="1"/>
  <c r="BH48" i="8" a="1"/>
  <c r="BH48" i="8" s="1"/>
  <c r="BH49" i="8" a="1"/>
  <c r="BH49" i="8" s="1"/>
  <c r="BH50" i="8" a="1"/>
  <c r="BH50" i="8" s="1"/>
  <c r="BH51" i="8" a="1"/>
  <c r="BH51" i="8" s="1"/>
  <c r="BH52" i="8" a="1"/>
  <c r="BH52" i="8" s="1"/>
  <c r="BH53" i="8" a="1"/>
  <c r="BH53" i="8" s="1"/>
  <c r="BH54" i="8" a="1"/>
  <c r="BH54" i="8" s="1"/>
  <c r="BH55" i="8" a="1"/>
  <c r="BH55" i="8" s="1"/>
  <c r="BH56" i="8" a="1"/>
  <c r="BH56" i="8" s="1"/>
  <c r="BH57" i="8" a="1"/>
  <c r="BH57" i="8" s="1"/>
  <c r="BH58" i="8" a="1"/>
  <c r="BH58" i="8" s="1"/>
  <c r="BH59" i="8" a="1"/>
  <c r="BH59" i="8" s="1"/>
  <c r="BH60" i="8" a="1"/>
  <c r="BH60" i="8" s="1"/>
  <c r="BH61" i="8" a="1"/>
  <c r="BH61" i="8" s="1"/>
  <c r="BH62" i="8" a="1"/>
  <c r="BH62" i="8" s="1"/>
  <c r="BH63" i="8" a="1"/>
  <c r="BH63" i="8" s="1"/>
  <c r="BH64" i="8" a="1"/>
  <c r="BH64" i="8" s="1"/>
  <c r="BH65" i="8" a="1"/>
  <c r="BH65" i="8" s="1"/>
  <c r="BH66" i="8" a="1"/>
  <c r="BH66" i="8" s="1"/>
  <c r="BH67" i="8" a="1"/>
  <c r="BH67" i="8" s="1"/>
  <c r="BH68" i="8" a="1"/>
  <c r="BH68" i="8" s="1"/>
  <c r="BH69" i="8" a="1"/>
  <c r="BH69" i="8" s="1"/>
  <c r="BF12" i="8" a="1"/>
  <c r="BF12" i="8" s="1"/>
  <c r="BF13" i="8" a="1"/>
  <c r="BF13" i="8" s="1"/>
  <c r="BF14" i="8" a="1"/>
  <c r="BF14" i="8" s="1"/>
  <c r="BF15" i="8" a="1"/>
  <c r="BF15" i="8" s="1"/>
  <c r="BF16" i="8" a="1"/>
  <c r="BF16" i="8" s="1"/>
  <c r="BF17" i="8" a="1"/>
  <c r="BF17" i="8" s="1"/>
  <c r="BF18" i="8" a="1"/>
  <c r="BF18" i="8" s="1"/>
  <c r="BF19" i="8" a="1"/>
  <c r="BF19" i="8" s="1"/>
  <c r="BF20" i="8" a="1"/>
  <c r="BF20" i="8" s="1"/>
  <c r="BF21" i="8" a="1"/>
  <c r="BF21" i="8" s="1"/>
  <c r="BF22" i="8" a="1"/>
  <c r="BF22" i="8" s="1"/>
  <c r="BF23" i="8" a="1"/>
  <c r="BF23" i="8" s="1"/>
  <c r="BF24" i="8" a="1"/>
  <c r="BF24" i="8" s="1"/>
  <c r="BF25" i="8" a="1"/>
  <c r="BF25" i="8" s="1"/>
  <c r="BF26" i="8" a="1"/>
  <c r="BF26" i="8" s="1"/>
  <c r="BF27" i="8" a="1"/>
  <c r="BF27" i="8" s="1"/>
  <c r="BF28" i="8" a="1"/>
  <c r="BF28" i="8" s="1"/>
  <c r="BF29" i="8" a="1"/>
  <c r="BF29" i="8" s="1"/>
  <c r="BF30" i="8" a="1"/>
  <c r="BF30" i="8" s="1"/>
  <c r="BF31" i="8" a="1"/>
  <c r="BF31" i="8" s="1"/>
  <c r="BF32" i="8" a="1"/>
  <c r="BF32" i="8" s="1"/>
  <c r="BF33" i="8" a="1"/>
  <c r="BF33" i="8" s="1"/>
  <c r="BF34" i="8" a="1"/>
  <c r="BF34" i="8" s="1"/>
  <c r="BF35" i="8" a="1"/>
  <c r="BF35" i="8" s="1"/>
  <c r="BF36" i="8" a="1"/>
  <c r="BF36" i="8" s="1"/>
  <c r="BF37" i="8" a="1"/>
  <c r="BF37" i="8" s="1"/>
  <c r="BF38" i="8" a="1"/>
  <c r="BF38" i="8" s="1"/>
  <c r="BF39" i="8" a="1"/>
  <c r="BF39" i="8" s="1"/>
  <c r="BF40" i="8" a="1"/>
  <c r="BF40" i="8" s="1"/>
  <c r="BF41" i="8" a="1"/>
  <c r="BF41" i="8" s="1"/>
  <c r="BF42" i="8" a="1"/>
  <c r="BF42" i="8" s="1"/>
  <c r="BF43" i="8" a="1"/>
  <c r="BF43" i="8" s="1"/>
  <c r="BF44" i="8" a="1"/>
  <c r="BF44" i="8" s="1"/>
  <c r="BF45" i="8" a="1"/>
  <c r="BF45" i="8" s="1"/>
  <c r="BF46" i="8" a="1"/>
  <c r="BF46" i="8" s="1"/>
  <c r="BF47" i="8" a="1"/>
  <c r="BF47" i="8" s="1"/>
  <c r="BF48" i="8" a="1"/>
  <c r="BF48" i="8" s="1"/>
  <c r="BF49" i="8" a="1"/>
  <c r="BF49" i="8" s="1"/>
  <c r="BF50" i="8" a="1"/>
  <c r="BF50" i="8" s="1"/>
  <c r="BF51" i="8" a="1"/>
  <c r="BF51" i="8" s="1"/>
  <c r="BF52" i="8" a="1"/>
  <c r="BF52" i="8" s="1"/>
  <c r="BF53" i="8" a="1"/>
  <c r="BF53" i="8" s="1"/>
  <c r="BF54" i="8" a="1"/>
  <c r="BF54" i="8" s="1"/>
  <c r="BF55" i="8" a="1"/>
  <c r="BF55" i="8" s="1"/>
  <c r="BF56" i="8" a="1"/>
  <c r="BF56" i="8" s="1"/>
  <c r="BF57" i="8" a="1"/>
  <c r="BF57" i="8" s="1"/>
  <c r="BF58" i="8" a="1"/>
  <c r="BF58" i="8" s="1"/>
  <c r="BF59" i="8" a="1"/>
  <c r="BF59" i="8" s="1"/>
  <c r="BF60" i="8" a="1"/>
  <c r="BF60" i="8" s="1"/>
  <c r="BF61" i="8" a="1"/>
  <c r="BF61" i="8" s="1"/>
  <c r="BF62" i="8" a="1"/>
  <c r="BF62" i="8" s="1"/>
  <c r="BF63" i="8" a="1"/>
  <c r="BF63" i="8" s="1"/>
  <c r="BF64" i="8" a="1"/>
  <c r="BF64" i="8" s="1"/>
  <c r="BF65" i="8" a="1"/>
  <c r="BF65" i="8" s="1"/>
  <c r="BF66" i="8" a="1"/>
  <c r="BF66" i="8" s="1"/>
  <c r="BF67" i="8" a="1"/>
  <c r="BF67" i="8" s="1"/>
  <c r="BF68" i="8" a="1"/>
  <c r="BF68" i="8" s="1"/>
  <c r="BF69" i="8" a="1"/>
  <c r="BF69" i="8" s="1"/>
  <c r="BE12" i="8" a="1"/>
  <c r="BE12" i="8" s="1"/>
  <c r="BE13" i="8" a="1"/>
  <c r="BE13" i="8" s="1"/>
  <c r="BE14" i="8" a="1"/>
  <c r="BE14" i="8" s="1"/>
  <c r="BE15" i="8" a="1"/>
  <c r="BE15" i="8" s="1"/>
  <c r="BE16" i="8" a="1"/>
  <c r="BE16" i="8" s="1"/>
  <c r="BE17" i="8" a="1"/>
  <c r="BE17" i="8" s="1"/>
  <c r="BE18" i="8" a="1"/>
  <c r="BE18" i="8" s="1"/>
  <c r="BE19" i="8" a="1"/>
  <c r="BE19" i="8" s="1"/>
  <c r="BE20" i="8" a="1"/>
  <c r="BE20" i="8" s="1"/>
  <c r="BE21" i="8" a="1"/>
  <c r="BE21" i="8" s="1"/>
  <c r="BE22" i="8" a="1"/>
  <c r="BE22" i="8" s="1"/>
  <c r="BE23" i="8" a="1"/>
  <c r="BE23" i="8" s="1"/>
  <c r="BE24" i="8" a="1"/>
  <c r="BE24" i="8" s="1"/>
  <c r="BE25" i="8" a="1"/>
  <c r="BE25" i="8" s="1"/>
  <c r="BE26" i="8" a="1"/>
  <c r="BE26" i="8" s="1"/>
  <c r="BE27" i="8" a="1"/>
  <c r="BE27" i="8" s="1"/>
  <c r="BE28" i="8" a="1"/>
  <c r="BE28" i="8" s="1"/>
  <c r="BE30" i="8" a="1"/>
  <c r="BE30" i="8" s="1"/>
  <c r="BE31" i="8" a="1"/>
  <c r="BE31" i="8" s="1"/>
  <c r="BE32" i="8" a="1"/>
  <c r="BE32" i="8" s="1"/>
  <c r="BE33" i="8" a="1"/>
  <c r="BE33" i="8" s="1"/>
  <c r="BE34" i="8" a="1"/>
  <c r="BE34" i="8" s="1"/>
  <c r="BE35" i="8" a="1"/>
  <c r="BE35" i="8" s="1"/>
  <c r="BE36" i="8" a="1"/>
  <c r="BE36" i="8" s="1"/>
  <c r="BE37" i="8" a="1"/>
  <c r="BE37" i="8" s="1"/>
  <c r="BE38" i="8" a="1"/>
  <c r="BE38" i="8" s="1"/>
  <c r="BE39" i="8" a="1"/>
  <c r="BE39" i="8" s="1"/>
  <c r="BE40" i="8" a="1"/>
  <c r="BE40" i="8" s="1"/>
  <c r="BE41" i="8" a="1"/>
  <c r="BE41" i="8" s="1"/>
  <c r="BE42" i="8" a="1"/>
  <c r="BE42" i="8" s="1"/>
  <c r="BE43" i="8" a="1"/>
  <c r="BE43" i="8" s="1"/>
  <c r="BE44" i="8" a="1"/>
  <c r="BE44" i="8" s="1"/>
  <c r="BE45" i="8" a="1"/>
  <c r="BE45" i="8" s="1"/>
  <c r="BE46" i="8" a="1"/>
  <c r="BE46" i="8" s="1"/>
  <c r="BE47" i="8" a="1"/>
  <c r="BE47" i="8" s="1"/>
  <c r="BE49" i="8" a="1"/>
  <c r="BE49" i="8" s="1"/>
  <c r="BE50" i="8" a="1"/>
  <c r="BE50" i="8" s="1"/>
  <c r="BE51" i="8" a="1"/>
  <c r="BE51" i="8" s="1"/>
  <c r="BE52" i="8" a="1"/>
  <c r="BE52" i="8" s="1"/>
  <c r="BE53" i="8" a="1"/>
  <c r="BE53" i="8" s="1"/>
  <c r="BE54" i="8" a="1"/>
  <c r="BE54" i="8" s="1"/>
  <c r="BE55" i="8" a="1"/>
  <c r="BE55" i="8" s="1"/>
  <c r="BE56" i="8" a="1"/>
  <c r="BE56" i="8" s="1"/>
  <c r="BE57" i="8" a="1"/>
  <c r="BE57" i="8" s="1"/>
  <c r="BE58" i="8" a="1"/>
  <c r="BE58" i="8" s="1"/>
  <c r="BE59" i="8" a="1"/>
  <c r="BE59" i="8" s="1"/>
  <c r="BE60" i="8" a="1"/>
  <c r="BE60" i="8" s="1"/>
  <c r="BE61" i="8" a="1"/>
  <c r="BE61" i="8" s="1"/>
  <c r="BE62" i="8" a="1"/>
  <c r="BE62" i="8" s="1"/>
  <c r="BE63" i="8" a="1"/>
  <c r="BE63" i="8" s="1"/>
  <c r="BE64" i="8" a="1"/>
  <c r="BE64" i="8" s="1"/>
  <c r="BE65" i="8" a="1"/>
  <c r="BE65" i="8" s="1"/>
  <c r="BE66" i="8" a="1"/>
  <c r="BE66" i="8" s="1"/>
  <c r="BE67" i="8" a="1"/>
  <c r="BE67" i="8" s="1"/>
  <c r="BE68" i="8" a="1"/>
  <c r="BE68" i="8" s="1"/>
  <c r="BE69" i="8" a="1"/>
  <c r="BE69" i="8" s="1"/>
  <c r="BD12" i="8" a="1"/>
  <c r="BD12" i="8" s="1"/>
  <c r="BD13" i="8" a="1"/>
  <c r="BD13" i="8" s="1"/>
  <c r="BD14" i="8" a="1"/>
  <c r="BD14" i="8" s="1"/>
  <c r="BD15" i="8" a="1"/>
  <c r="BD15" i="8" s="1"/>
  <c r="BD16" i="8" a="1"/>
  <c r="BD16" i="8" s="1"/>
  <c r="BD17" i="8" a="1"/>
  <c r="BD17" i="8" s="1"/>
  <c r="BD18" i="8" a="1"/>
  <c r="BD18" i="8" s="1"/>
  <c r="BD19" i="8" a="1"/>
  <c r="BD19" i="8" s="1"/>
  <c r="BD20" i="8" a="1"/>
  <c r="BD20" i="8" s="1"/>
  <c r="BD21" i="8" a="1"/>
  <c r="BD21" i="8" s="1"/>
  <c r="BD22" i="8" a="1"/>
  <c r="BD22" i="8" s="1"/>
  <c r="BD23" i="8" a="1"/>
  <c r="BD23" i="8" s="1"/>
  <c r="BD24" i="8" a="1"/>
  <c r="BD24" i="8" s="1"/>
  <c r="BD25" i="8" a="1"/>
  <c r="BD25" i="8" s="1"/>
  <c r="BD26" i="8" a="1"/>
  <c r="BD26" i="8" s="1"/>
  <c r="BD27" i="8" a="1"/>
  <c r="BD27" i="8" s="1"/>
  <c r="BD28" i="8" a="1"/>
  <c r="BD28" i="8" s="1"/>
  <c r="BD30" i="8" a="1"/>
  <c r="BD30" i="8" s="1"/>
  <c r="BD31" i="8" a="1"/>
  <c r="BD31" i="8" s="1"/>
  <c r="BD32" i="8" a="1"/>
  <c r="BD32" i="8" s="1"/>
  <c r="BD34" i="8" a="1"/>
  <c r="BD34" i="8" s="1"/>
  <c r="BD35" i="8" a="1"/>
  <c r="BD35" i="8" s="1"/>
  <c r="BD36" i="8" a="1"/>
  <c r="BD36" i="8" s="1"/>
  <c r="BD37" i="8" a="1"/>
  <c r="BD37" i="8" s="1"/>
  <c r="BD38" i="8" a="1"/>
  <c r="BD38" i="8" s="1"/>
  <c r="BD39" i="8" a="1"/>
  <c r="BD39" i="8" s="1"/>
  <c r="BD40" i="8" a="1"/>
  <c r="BD40" i="8" s="1"/>
  <c r="BD41" i="8" a="1"/>
  <c r="BD41" i="8" s="1"/>
  <c r="BD42" i="8" a="1"/>
  <c r="BD42" i="8" s="1"/>
  <c r="BD43" i="8" a="1"/>
  <c r="BD43" i="8" s="1"/>
  <c r="BD44" i="8" a="1"/>
  <c r="BD44" i="8" s="1"/>
  <c r="BD45" i="8" a="1"/>
  <c r="BD45" i="8" s="1"/>
  <c r="BD46" i="8" a="1"/>
  <c r="BD46" i="8" s="1"/>
  <c r="BD47" i="8" a="1"/>
  <c r="BD47" i="8" s="1"/>
  <c r="BD49" i="8" a="1"/>
  <c r="BD49" i="8" s="1"/>
  <c r="BD50" i="8" a="1"/>
  <c r="BD50" i="8" s="1"/>
  <c r="BD51" i="8" a="1"/>
  <c r="BD51" i="8" s="1"/>
  <c r="BD52" i="8" a="1"/>
  <c r="BD52" i="8" s="1"/>
  <c r="BD53" i="8" a="1"/>
  <c r="BD53" i="8" s="1"/>
  <c r="BD54" i="8" a="1"/>
  <c r="BD54" i="8" s="1"/>
  <c r="BD55" i="8" a="1"/>
  <c r="BD55" i="8" s="1"/>
  <c r="BD56" i="8" a="1"/>
  <c r="BD56" i="8" s="1"/>
  <c r="BD57" i="8" a="1"/>
  <c r="BD57" i="8" s="1"/>
  <c r="BD58" i="8" a="1"/>
  <c r="BD58" i="8" s="1"/>
  <c r="BD59" i="8" a="1"/>
  <c r="BD59" i="8" s="1"/>
  <c r="BD60" i="8" a="1"/>
  <c r="BD60" i="8" s="1"/>
  <c r="BD61" i="8" a="1"/>
  <c r="BD61" i="8" s="1"/>
  <c r="BD62" i="8" a="1"/>
  <c r="BD62" i="8" s="1"/>
  <c r="BD63" i="8" a="1"/>
  <c r="BD63" i="8" s="1"/>
  <c r="BD64" i="8" a="1"/>
  <c r="BD64" i="8" s="1"/>
  <c r="BD66" i="8" a="1"/>
  <c r="BD66" i="8" s="1"/>
  <c r="BD68" i="8" a="1"/>
  <c r="BD68" i="8" s="1"/>
  <c r="BD69" i="8" a="1"/>
  <c r="BD69" i="8" s="1"/>
  <c r="BA12" i="8" a="1"/>
  <c r="BA12" i="8" s="1"/>
  <c r="BA13" i="8" a="1"/>
  <c r="BA13" i="8" s="1"/>
  <c r="BA14" i="8" a="1"/>
  <c r="BA14" i="8" s="1"/>
  <c r="BA15" i="8" a="1"/>
  <c r="BA15" i="8" s="1"/>
  <c r="BA16" i="8" a="1"/>
  <c r="BA16" i="8" s="1"/>
  <c r="BA17" i="8" a="1"/>
  <c r="BA17" i="8" s="1"/>
  <c r="BA18" i="8" a="1"/>
  <c r="BA18" i="8" s="1"/>
  <c r="BA19" i="8" a="1"/>
  <c r="BA19" i="8" s="1"/>
  <c r="BA20" i="8" a="1"/>
  <c r="BA20" i="8" s="1"/>
  <c r="BA21" i="8" a="1"/>
  <c r="BA21" i="8" s="1"/>
  <c r="BA22" i="8" a="1"/>
  <c r="BA22" i="8" s="1"/>
  <c r="BA23" i="8" a="1"/>
  <c r="BA23" i="8" s="1"/>
  <c r="BA24" i="8" a="1"/>
  <c r="BA24" i="8" s="1"/>
  <c r="BA25" i="8" a="1"/>
  <c r="BA25" i="8" s="1"/>
  <c r="BA26" i="8" a="1"/>
  <c r="BA26" i="8" s="1"/>
  <c r="BA27" i="8" a="1"/>
  <c r="BA27" i="8" s="1"/>
  <c r="BA28" i="8" a="1"/>
  <c r="BA28" i="8" s="1"/>
  <c r="BA29" i="8" a="1"/>
  <c r="BA29" i="8" s="1"/>
  <c r="BA30" i="8" a="1"/>
  <c r="BA30" i="8" s="1"/>
  <c r="BA31" i="8" a="1"/>
  <c r="BA31" i="8" s="1"/>
  <c r="BA32" i="8" a="1"/>
  <c r="BA32" i="8" s="1"/>
  <c r="BA33" i="8" a="1"/>
  <c r="BA33" i="8" s="1"/>
  <c r="BA34" i="8" a="1"/>
  <c r="BA34" i="8" s="1"/>
  <c r="BA35" i="8" a="1"/>
  <c r="BA35" i="8" s="1"/>
  <c r="BA36" i="8" a="1"/>
  <c r="BA36" i="8" s="1"/>
  <c r="BA37" i="8" a="1"/>
  <c r="BA37" i="8" s="1"/>
  <c r="BA38" i="8" a="1"/>
  <c r="BA38" i="8" s="1"/>
  <c r="BA39" i="8" a="1"/>
  <c r="BA39" i="8" s="1"/>
  <c r="BA40" i="8" a="1"/>
  <c r="BA40" i="8" s="1"/>
  <c r="BA41" i="8" a="1"/>
  <c r="BA41" i="8" s="1"/>
  <c r="BA42" i="8" a="1"/>
  <c r="BA42" i="8" s="1"/>
  <c r="BA43" i="8" a="1"/>
  <c r="BA43" i="8" s="1"/>
  <c r="BA44" i="8" a="1"/>
  <c r="BA44" i="8" s="1"/>
  <c r="BA45" i="8" a="1"/>
  <c r="BA45" i="8" s="1"/>
  <c r="BA46" i="8" a="1"/>
  <c r="BA46" i="8" s="1"/>
  <c r="BA47" i="8" a="1"/>
  <c r="BA47" i="8" s="1"/>
  <c r="BA48" i="8" a="1"/>
  <c r="BA48" i="8" s="1"/>
  <c r="BA49" i="8" a="1"/>
  <c r="BA49" i="8" s="1"/>
  <c r="BA50" i="8" a="1"/>
  <c r="BA50" i="8" s="1"/>
  <c r="BA51" i="8" a="1"/>
  <c r="BA51" i="8" s="1"/>
  <c r="BA52" i="8" a="1"/>
  <c r="BA52" i="8" s="1"/>
  <c r="BA53" i="8" a="1"/>
  <c r="BA53" i="8" s="1"/>
  <c r="BA54" i="8" a="1"/>
  <c r="BA54" i="8" s="1"/>
  <c r="BA55" i="8" a="1"/>
  <c r="BA55" i="8" s="1"/>
  <c r="BA56" i="8" a="1"/>
  <c r="BA56" i="8" s="1"/>
  <c r="BA57" i="8" a="1"/>
  <c r="BA57" i="8" s="1"/>
  <c r="BA58" i="8" a="1"/>
  <c r="BA58" i="8" s="1"/>
  <c r="BA59" i="8" a="1"/>
  <c r="BA59" i="8" s="1"/>
  <c r="BA60" i="8" a="1"/>
  <c r="BA60" i="8" s="1"/>
  <c r="BA61" i="8" a="1"/>
  <c r="BA61" i="8" s="1"/>
  <c r="BA62" i="8" a="1"/>
  <c r="BA62" i="8" s="1"/>
  <c r="BA63" i="8" a="1"/>
  <c r="BA63" i="8" s="1"/>
  <c r="BA64" i="8" a="1"/>
  <c r="BA64" i="8" s="1"/>
  <c r="BA65" i="8" a="1"/>
  <c r="BA65" i="8" s="1"/>
  <c r="BA66" i="8" a="1"/>
  <c r="BA66" i="8" s="1"/>
  <c r="BA67" i="8" a="1"/>
  <c r="BA67" i="8" s="1"/>
  <c r="BA68" i="8" a="1"/>
  <c r="BA68" i="8" s="1"/>
  <c r="BA69" i="8" a="1"/>
  <c r="BA69" i="8" s="1"/>
  <c r="AZ12" i="8" a="1"/>
  <c r="AZ12" i="8" s="1"/>
  <c r="AZ13" i="8" a="1"/>
  <c r="AZ13" i="8" s="1"/>
  <c r="AZ14" i="8" a="1"/>
  <c r="AZ14" i="8" s="1"/>
  <c r="AZ15" i="8" a="1"/>
  <c r="AZ15" i="8" s="1"/>
  <c r="AZ16" i="8" a="1"/>
  <c r="AZ16" i="8" s="1"/>
  <c r="AZ17" i="8" a="1"/>
  <c r="AZ17" i="8" s="1"/>
  <c r="AZ18" i="8" a="1"/>
  <c r="AZ18" i="8" s="1"/>
  <c r="AZ19" i="8" a="1"/>
  <c r="AZ19" i="8" s="1"/>
  <c r="AZ20" i="8" a="1"/>
  <c r="AZ20" i="8" s="1"/>
  <c r="AZ21" i="8" a="1"/>
  <c r="AZ21" i="8" s="1"/>
  <c r="AZ22" i="8" a="1"/>
  <c r="AZ22" i="8" s="1"/>
  <c r="AZ23" i="8" a="1"/>
  <c r="AZ23" i="8" s="1"/>
  <c r="AZ24" i="8" a="1"/>
  <c r="AZ24" i="8" s="1"/>
  <c r="AZ25" i="8" a="1"/>
  <c r="AZ25" i="8" s="1"/>
  <c r="AZ26" i="8" a="1"/>
  <c r="AZ26" i="8" s="1"/>
  <c r="AZ27" i="8" a="1"/>
  <c r="AZ27" i="8" s="1"/>
  <c r="AZ28" i="8" a="1"/>
  <c r="AZ28" i="8" s="1"/>
  <c r="AZ29" i="8" a="1"/>
  <c r="AZ29" i="8" s="1"/>
  <c r="AZ30" i="8" a="1"/>
  <c r="AZ30" i="8" s="1"/>
  <c r="AZ31" i="8" a="1"/>
  <c r="AZ31" i="8" s="1"/>
  <c r="AZ32" i="8" a="1"/>
  <c r="AZ32" i="8" s="1"/>
  <c r="AZ33" i="8" a="1"/>
  <c r="AZ33" i="8" s="1"/>
  <c r="AZ34" i="8" a="1"/>
  <c r="AZ34" i="8" s="1"/>
  <c r="AZ35" i="8" a="1"/>
  <c r="AZ35" i="8" s="1"/>
  <c r="AZ36" i="8" a="1"/>
  <c r="AZ36" i="8" s="1"/>
  <c r="AZ37" i="8" a="1"/>
  <c r="AZ37" i="8" s="1"/>
  <c r="AZ38" i="8" a="1"/>
  <c r="AZ38" i="8" s="1"/>
  <c r="AZ39" i="8" a="1"/>
  <c r="AZ39" i="8" s="1"/>
  <c r="AZ40" i="8" a="1"/>
  <c r="AZ40" i="8" s="1"/>
  <c r="AZ41" i="8" a="1"/>
  <c r="AZ41" i="8" s="1"/>
  <c r="AZ42" i="8" a="1"/>
  <c r="AZ42" i="8" s="1"/>
  <c r="AZ43" i="8" a="1"/>
  <c r="AZ43" i="8" s="1"/>
  <c r="AZ44" i="8" a="1"/>
  <c r="AZ44" i="8" s="1"/>
  <c r="AZ45" i="8" a="1"/>
  <c r="AZ45" i="8" s="1"/>
  <c r="AZ46" i="8" a="1"/>
  <c r="AZ46" i="8" s="1"/>
  <c r="AZ47" i="8" a="1"/>
  <c r="AZ47" i="8" s="1"/>
  <c r="AZ48" i="8" a="1"/>
  <c r="AZ48" i="8" s="1"/>
  <c r="AZ49" i="8" a="1"/>
  <c r="AZ49" i="8" s="1"/>
  <c r="AZ50" i="8" a="1"/>
  <c r="AZ50" i="8" s="1"/>
  <c r="AZ51" i="8" a="1"/>
  <c r="AZ51" i="8" s="1"/>
  <c r="AZ52" i="8" a="1"/>
  <c r="AZ52" i="8" s="1"/>
  <c r="AZ53" i="8" a="1"/>
  <c r="AZ53" i="8" s="1"/>
  <c r="AZ54" i="8" a="1"/>
  <c r="AZ54" i="8" s="1"/>
  <c r="AZ55" i="8" a="1"/>
  <c r="AZ55" i="8" s="1"/>
  <c r="AZ56" i="8" a="1"/>
  <c r="AZ56" i="8" s="1"/>
  <c r="AZ57" i="8" a="1"/>
  <c r="AZ57" i="8" s="1"/>
  <c r="AZ58" i="8" a="1"/>
  <c r="AZ58" i="8" s="1"/>
  <c r="AZ59" i="8" a="1"/>
  <c r="AZ59" i="8" s="1"/>
  <c r="AZ60" i="8" a="1"/>
  <c r="AZ60" i="8" s="1"/>
  <c r="AZ61" i="8" a="1"/>
  <c r="AZ61" i="8" s="1"/>
  <c r="AZ62" i="8" a="1"/>
  <c r="AZ62" i="8" s="1"/>
  <c r="AZ63" i="8" a="1"/>
  <c r="AZ63" i="8" s="1"/>
  <c r="AZ64" i="8" a="1"/>
  <c r="AZ64" i="8" s="1"/>
  <c r="AZ65" i="8" a="1"/>
  <c r="AZ65" i="8" s="1"/>
  <c r="AZ66" i="8" a="1"/>
  <c r="AZ66" i="8" s="1"/>
  <c r="AZ67" i="8" a="1"/>
  <c r="AZ67" i="8" s="1"/>
  <c r="AZ68" i="8" a="1"/>
  <c r="AZ68" i="8" s="1"/>
  <c r="AZ69" i="8" a="1"/>
  <c r="AZ69" i="8" s="1"/>
  <c r="AV12" i="8" a="1"/>
  <c r="AV12" i="8" s="1"/>
  <c r="AV13" i="8" a="1"/>
  <c r="AV13" i="8" s="1"/>
  <c r="AV14" i="8" a="1"/>
  <c r="AV14" i="8" s="1"/>
  <c r="AV15" i="8" a="1"/>
  <c r="AV15" i="8" s="1"/>
  <c r="AV16" i="8" a="1"/>
  <c r="AV16" i="8" s="1"/>
  <c r="AV17" i="8" a="1"/>
  <c r="AV17" i="8" s="1"/>
  <c r="AV18" i="8" a="1"/>
  <c r="AV18" i="8" s="1"/>
  <c r="AV19" i="8" a="1"/>
  <c r="AV19" i="8" s="1"/>
  <c r="AV20" i="8" a="1"/>
  <c r="AV20" i="8" s="1"/>
  <c r="AV21" i="8" a="1"/>
  <c r="AV21" i="8" s="1"/>
  <c r="AV22" i="8" a="1"/>
  <c r="AV22" i="8" s="1"/>
  <c r="AV23" i="8" a="1"/>
  <c r="AV23" i="8" s="1"/>
  <c r="AV24" i="8" a="1"/>
  <c r="AV24" i="8" s="1"/>
  <c r="AV25" i="8" a="1"/>
  <c r="AV25" i="8" s="1"/>
  <c r="AV26" i="8" a="1"/>
  <c r="AV26" i="8" s="1"/>
  <c r="AV27" i="8" a="1"/>
  <c r="AV27" i="8" s="1"/>
  <c r="AV28" i="8" a="1"/>
  <c r="AV28" i="8" s="1"/>
  <c r="AV29" i="8" a="1"/>
  <c r="AV29" i="8" s="1"/>
  <c r="AV30" i="8" a="1"/>
  <c r="AV30" i="8" s="1"/>
  <c r="AV31" i="8" a="1"/>
  <c r="AV31" i="8" s="1"/>
  <c r="AV32" i="8" a="1"/>
  <c r="AV32" i="8" s="1"/>
  <c r="AV33" i="8" a="1"/>
  <c r="AV33" i="8" s="1"/>
  <c r="AV34" i="8" a="1"/>
  <c r="AV34" i="8" s="1"/>
  <c r="AV35" i="8" a="1"/>
  <c r="AV35" i="8" s="1"/>
  <c r="AV36" i="8" a="1"/>
  <c r="AV36" i="8" s="1"/>
  <c r="AV37" i="8" a="1"/>
  <c r="AV37" i="8" s="1"/>
  <c r="AV38" i="8" a="1"/>
  <c r="AV38" i="8" s="1"/>
  <c r="AV39" i="8" a="1"/>
  <c r="AV39" i="8" s="1"/>
  <c r="AV40" i="8" a="1"/>
  <c r="AV40" i="8" s="1"/>
  <c r="AV41" i="8" a="1"/>
  <c r="AV41" i="8" s="1"/>
  <c r="AV42" i="8" a="1"/>
  <c r="AV42" i="8" s="1"/>
  <c r="AV43" i="8" a="1"/>
  <c r="AV43" i="8" s="1"/>
  <c r="AV44" i="8" a="1"/>
  <c r="AV44" i="8" s="1"/>
  <c r="AV45" i="8" a="1"/>
  <c r="AV45" i="8" s="1"/>
  <c r="AV46" i="8" a="1"/>
  <c r="AV46" i="8" s="1"/>
  <c r="AV47" i="8" a="1"/>
  <c r="AV47" i="8" s="1"/>
  <c r="AV48" i="8" a="1"/>
  <c r="AV48" i="8" s="1"/>
  <c r="AV49" i="8" a="1"/>
  <c r="AV49" i="8" s="1"/>
  <c r="AV50" i="8" a="1"/>
  <c r="AV50" i="8" s="1"/>
  <c r="AV51" i="8" a="1"/>
  <c r="AV51" i="8" s="1"/>
  <c r="AV52" i="8" a="1"/>
  <c r="AV52" i="8" s="1"/>
  <c r="AV53" i="8" a="1"/>
  <c r="AV53" i="8" s="1"/>
  <c r="AV54" i="8" a="1"/>
  <c r="AV54" i="8" s="1"/>
  <c r="AV55" i="8" a="1"/>
  <c r="AV55" i="8" s="1"/>
  <c r="AV56" i="8" a="1"/>
  <c r="AV56" i="8" s="1"/>
  <c r="AV57" i="8" a="1"/>
  <c r="AV57" i="8" s="1"/>
  <c r="AV58" i="8" a="1"/>
  <c r="AV58" i="8" s="1"/>
  <c r="AV59" i="8" a="1"/>
  <c r="AV59" i="8" s="1"/>
  <c r="AV60" i="8" a="1"/>
  <c r="AV60" i="8" s="1"/>
  <c r="AV61" i="8" a="1"/>
  <c r="AV61" i="8" s="1"/>
  <c r="AV62" i="8" a="1"/>
  <c r="AV62" i="8" s="1"/>
  <c r="AV63" i="8" a="1"/>
  <c r="AV63" i="8" s="1"/>
  <c r="AV64" i="8" a="1"/>
  <c r="AV64" i="8" s="1"/>
  <c r="AV65" i="8" a="1"/>
  <c r="AV65" i="8" s="1"/>
  <c r="AV66" i="8" a="1"/>
  <c r="AV66" i="8" s="1"/>
  <c r="AV67" i="8" a="1"/>
  <c r="AV67" i="8" s="1"/>
  <c r="AV68" i="8" a="1"/>
  <c r="AV68" i="8" s="1"/>
  <c r="AV69" i="8" a="1"/>
  <c r="AV69" i="8" s="1"/>
  <c r="AU12" i="8" a="1"/>
  <c r="AU12" i="8" s="1"/>
  <c r="AU13" i="8" a="1"/>
  <c r="AU13" i="8" s="1"/>
  <c r="AU14" i="8" a="1"/>
  <c r="AU14" i="8" s="1"/>
  <c r="AU15" i="8" a="1"/>
  <c r="AU15" i="8" s="1"/>
  <c r="AU16" i="8" a="1"/>
  <c r="AU16" i="8" s="1"/>
  <c r="AU17" i="8" a="1"/>
  <c r="AU17" i="8" s="1"/>
  <c r="AU18" i="8" a="1"/>
  <c r="AU18" i="8" s="1"/>
  <c r="AU19" i="8" a="1"/>
  <c r="AU19" i="8" s="1"/>
  <c r="AU20" i="8" a="1"/>
  <c r="AU20" i="8" s="1"/>
  <c r="AU21" i="8" a="1"/>
  <c r="AU21" i="8" s="1"/>
  <c r="AU22" i="8" a="1"/>
  <c r="AU22" i="8" s="1"/>
  <c r="AU23" i="8" a="1"/>
  <c r="AU23" i="8" s="1"/>
  <c r="AU24" i="8" a="1"/>
  <c r="AU24" i="8" s="1"/>
  <c r="AU25" i="8" a="1"/>
  <c r="AU25" i="8" s="1"/>
  <c r="AU26" i="8" a="1"/>
  <c r="AU26" i="8" s="1"/>
  <c r="AU27" i="8" a="1"/>
  <c r="AU27" i="8" s="1"/>
  <c r="AU28" i="8" a="1"/>
  <c r="AU28" i="8" s="1"/>
  <c r="AU29" i="8" a="1"/>
  <c r="AU29" i="8" s="1"/>
  <c r="AU30" i="8" a="1"/>
  <c r="AU30" i="8" s="1"/>
  <c r="AU31" i="8" a="1"/>
  <c r="AU31" i="8" s="1"/>
  <c r="AU32" i="8" a="1"/>
  <c r="AU32" i="8" s="1"/>
  <c r="AU33" i="8" a="1"/>
  <c r="AU33" i="8" s="1"/>
  <c r="AU34" i="8" a="1"/>
  <c r="AU34" i="8" s="1"/>
  <c r="AU35" i="8" a="1"/>
  <c r="AU35" i="8" s="1"/>
  <c r="AU36" i="8" a="1"/>
  <c r="AU36" i="8" s="1"/>
  <c r="AU37" i="8" a="1"/>
  <c r="AU37" i="8" s="1"/>
  <c r="AU38" i="8" a="1"/>
  <c r="AU38" i="8" s="1"/>
  <c r="AU39" i="8" a="1"/>
  <c r="AU39" i="8" s="1"/>
  <c r="AU40" i="8" a="1"/>
  <c r="AU40" i="8" s="1"/>
  <c r="AU41" i="8" a="1"/>
  <c r="AU41" i="8" s="1"/>
  <c r="AU42" i="8" a="1"/>
  <c r="AU42" i="8" s="1"/>
  <c r="AU43" i="8" a="1"/>
  <c r="AU43" i="8" s="1"/>
  <c r="AU44" i="8" a="1"/>
  <c r="AU44" i="8" s="1"/>
  <c r="AU45" i="8" a="1"/>
  <c r="AU45" i="8" s="1"/>
  <c r="AU46" i="8" a="1"/>
  <c r="AU46" i="8" s="1"/>
  <c r="AU47" i="8" a="1"/>
  <c r="AU47" i="8" s="1"/>
  <c r="AU48" i="8" a="1"/>
  <c r="AU48" i="8" s="1"/>
  <c r="AU49" i="8" a="1"/>
  <c r="AU49" i="8" s="1"/>
  <c r="AU50" i="8" a="1"/>
  <c r="AU50" i="8" s="1"/>
  <c r="AU51" i="8" a="1"/>
  <c r="AU51" i="8" s="1"/>
  <c r="AU52" i="8" a="1"/>
  <c r="AU52" i="8" s="1"/>
  <c r="AU53" i="8" a="1"/>
  <c r="AU53" i="8" s="1"/>
  <c r="AU54" i="8" a="1"/>
  <c r="AU54" i="8" s="1"/>
  <c r="AU55" i="8" a="1"/>
  <c r="AU55" i="8" s="1"/>
  <c r="AU56" i="8" a="1"/>
  <c r="AU56" i="8" s="1"/>
  <c r="AU57" i="8" a="1"/>
  <c r="AU57" i="8" s="1"/>
  <c r="AU58" i="8" a="1"/>
  <c r="AU58" i="8" s="1"/>
  <c r="AU59" i="8" a="1"/>
  <c r="AU59" i="8" s="1"/>
  <c r="AU60" i="8" a="1"/>
  <c r="AU60" i="8" s="1"/>
  <c r="AU61" i="8" a="1"/>
  <c r="AU61" i="8" s="1"/>
  <c r="AU62" i="8" a="1"/>
  <c r="AU62" i="8" s="1"/>
  <c r="AU63" i="8" a="1"/>
  <c r="AU63" i="8" s="1"/>
  <c r="AU64" i="8" a="1"/>
  <c r="AU64" i="8" s="1"/>
  <c r="AU65" i="8" a="1"/>
  <c r="AU65" i="8" s="1"/>
  <c r="AU66" i="8" a="1"/>
  <c r="AU66" i="8" s="1"/>
  <c r="AU67" i="8" a="1"/>
  <c r="AU67" i="8" s="1"/>
  <c r="AU68" i="8" a="1"/>
  <c r="AU68" i="8" s="1"/>
  <c r="AU69" i="8" a="1"/>
  <c r="AU69" i="8" s="1"/>
  <c r="AT12" i="8" a="1"/>
  <c r="AT12" i="8" s="1"/>
  <c r="AT13" i="8" a="1"/>
  <c r="AT13" i="8" s="1"/>
  <c r="AT14" i="8" a="1"/>
  <c r="AT14" i="8" s="1"/>
  <c r="AT15" i="8" a="1"/>
  <c r="AT15" i="8" s="1"/>
  <c r="AT16" i="8" a="1"/>
  <c r="AT16" i="8" s="1"/>
  <c r="AT17" i="8" a="1"/>
  <c r="AT17" i="8" s="1"/>
  <c r="AT18" i="8" a="1"/>
  <c r="AT18" i="8" s="1"/>
  <c r="AT19" i="8" a="1"/>
  <c r="AT19" i="8" s="1"/>
  <c r="AT20" i="8" a="1"/>
  <c r="AT20" i="8" s="1"/>
  <c r="AT21" i="8" a="1"/>
  <c r="AT21" i="8" s="1"/>
  <c r="AT22" i="8" a="1"/>
  <c r="AT22" i="8" s="1"/>
  <c r="AT23" i="8" a="1"/>
  <c r="AT23" i="8" s="1"/>
  <c r="AT24" i="8" a="1"/>
  <c r="AT24" i="8" s="1"/>
  <c r="AT25" i="8" a="1"/>
  <c r="AT25" i="8" s="1"/>
  <c r="AT26" i="8" a="1"/>
  <c r="AT26" i="8" s="1"/>
  <c r="AT27" i="8" a="1"/>
  <c r="AT27" i="8" s="1"/>
  <c r="AT28" i="8" a="1"/>
  <c r="AT28" i="8" s="1"/>
  <c r="AT29" i="8" a="1"/>
  <c r="AT29" i="8" s="1"/>
  <c r="AT30" i="8" a="1"/>
  <c r="AT30" i="8" s="1"/>
  <c r="AT31" i="8" a="1"/>
  <c r="AT31" i="8" s="1"/>
  <c r="AT32" i="8" a="1"/>
  <c r="AT32" i="8" s="1"/>
  <c r="AT33" i="8" a="1"/>
  <c r="AT33" i="8" s="1"/>
  <c r="AT34" i="8" a="1"/>
  <c r="AT34" i="8" s="1"/>
  <c r="AT35" i="8" a="1"/>
  <c r="AT35" i="8" s="1"/>
  <c r="AT36" i="8" a="1"/>
  <c r="AT36" i="8" s="1"/>
  <c r="AT37" i="8" a="1"/>
  <c r="AT37" i="8" s="1"/>
  <c r="AT38" i="8" a="1"/>
  <c r="AT38" i="8" s="1"/>
  <c r="AT39" i="8" a="1"/>
  <c r="AT39" i="8" s="1"/>
  <c r="AT40" i="8" a="1"/>
  <c r="AT40" i="8" s="1"/>
  <c r="AT41" i="8" a="1"/>
  <c r="AT41" i="8" s="1"/>
  <c r="AT42" i="8" a="1"/>
  <c r="AT42" i="8" s="1"/>
  <c r="AT43" i="8" a="1"/>
  <c r="AT43" i="8" s="1"/>
  <c r="AT44" i="8" a="1"/>
  <c r="AT44" i="8" s="1"/>
  <c r="AT45" i="8" a="1"/>
  <c r="AT45" i="8" s="1"/>
  <c r="AT46" i="8" a="1"/>
  <c r="AT46" i="8" s="1"/>
  <c r="AT47" i="8" a="1"/>
  <c r="AT47" i="8" s="1"/>
  <c r="AT48" i="8" a="1"/>
  <c r="AT48" i="8" s="1"/>
  <c r="AT49" i="8" a="1"/>
  <c r="AT49" i="8" s="1"/>
  <c r="AT50" i="8" a="1"/>
  <c r="AT50" i="8" s="1"/>
  <c r="AT51" i="8" a="1"/>
  <c r="AT51" i="8" s="1"/>
  <c r="AT52" i="8" a="1"/>
  <c r="AT52" i="8" s="1"/>
  <c r="AT53" i="8" a="1"/>
  <c r="AT53" i="8" s="1"/>
  <c r="AT54" i="8" a="1"/>
  <c r="AT54" i="8" s="1"/>
  <c r="AT55" i="8" a="1"/>
  <c r="AT55" i="8" s="1"/>
  <c r="AT56" i="8" a="1"/>
  <c r="AT56" i="8" s="1"/>
  <c r="AT57" i="8" a="1"/>
  <c r="AT57" i="8" s="1"/>
  <c r="AT58" i="8" a="1"/>
  <c r="AT58" i="8" s="1"/>
  <c r="AT59" i="8" a="1"/>
  <c r="AT59" i="8" s="1"/>
  <c r="AT60" i="8" a="1"/>
  <c r="AT60" i="8" s="1"/>
  <c r="AT61" i="8" a="1"/>
  <c r="AT61" i="8" s="1"/>
  <c r="AT62" i="8" a="1"/>
  <c r="AT62" i="8" s="1"/>
  <c r="AT63" i="8" a="1"/>
  <c r="AT63" i="8" s="1"/>
  <c r="AT64" i="8" a="1"/>
  <c r="AT64" i="8" s="1"/>
  <c r="AT65" i="8" a="1"/>
  <c r="AT65" i="8" s="1"/>
  <c r="AT66" i="8" a="1"/>
  <c r="AT66" i="8" s="1"/>
  <c r="AT67" i="8" a="1"/>
  <c r="AT67" i="8" s="1"/>
  <c r="AT68" i="8" a="1"/>
  <c r="AT68" i="8" s="1"/>
  <c r="AT69" i="8" a="1"/>
  <c r="AT69" i="8" s="1"/>
  <c r="AS12" i="8" a="1"/>
  <c r="AS12" i="8" s="1"/>
  <c r="AS13" i="8" a="1"/>
  <c r="AS13" i="8" s="1"/>
  <c r="AS14" i="8" a="1"/>
  <c r="AS14" i="8" s="1"/>
  <c r="AS15" i="8" a="1"/>
  <c r="AS15" i="8" s="1"/>
  <c r="AS16" i="8" a="1"/>
  <c r="AS16" i="8" s="1"/>
  <c r="AS17" i="8" a="1"/>
  <c r="AS17" i="8" s="1"/>
  <c r="AS18" i="8" a="1"/>
  <c r="AS18" i="8" s="1"/>
  <c r="AS19" i="8" a="1"/>
  <c r="AS19" i="8" s="1"/>
  <c r="AS20" i="8" a="1"/>
  <c r="AS20" i="8" s="1"/>
  <c r="AS21" i="8" a="1"/>
  <c r="AS21" i="8" s="1"/>
  <c r="AS22" i="8" a="1"/>
  <c r="AS22" i="8" s="1"/>
  <c r="AS23" i="8" a="1"/>
  <c r="AS23" i="8" s="1"/>
  <c r="AS24" i="8" a="1"/>
  <c r="AS24" i="8" s="1"/>
  <c r="AS25" i="8" a="1"/>
  <c r="AS25" i="8" s="1"/>
  <c r="AS26" i="8" a="1"/>
  <c r="AS26" i="8" s="1"/>
  <c r="AS27" i="8" a="1"/>
  <c r="AS27" i="8" s="1"/>
  <c r="AS28" i="8" a="1"/>
  <c r="AS28" i="8" s="1"/>
  <c r="AS29" i="8" a="1"/>
  <c r="AS29" i="8" s="1"/>
  <c r="AS30" i="8" a="1"/>
  <c r="AS30" i="8" s="1"/>
  <c r="AS31" i="8" a="1"/>
  <c r="AS31" i="8" s="1"/>
  <c r="AS32" i="8" a="1"/>
  <c r="AS32" i="8" s="1"/>
  <c r="AS33" i="8" a="1"/>
  <c r="AS33" i="8" s="1"/>
  <c r="AS34" i="8" a="1"/>
  <c r="AS34" i="8" s="1"/>
  <c r="AS35" i="8" a="1"/>
  <c r="AS35" i="8" s="1"/>
  <c r="AS36" i="8" a="1"/>
  <c r="AS36" i="8" s="1"/>
  <c r="AS37" i="8" a="1"/>
  <c r="AS37" i="8" s="1"/>
  <c r="AS38" i="8" a="1"/>
  <c r="AS38" i="8" s="1"/>
  <c r="AS39" i="8" a="1"/>
  <c r="AS39" i="8" s="1"/>
  <c r="AS40" i="8" a="1"/>
  <c r="AS40" i="8" s="1"/>
  <c r="AS41" i="8" a="1"/>
  <c r="AS41" i="8" s="1"/>
  <c r="AS42" i="8" a="1"/>
  <c r="AS42" i="8" s="1"/>
  <c r="AS43" i="8" a="1"/>
  <c r="AS43" i="8" s="1"/>
  <c r="AS44" i="8" a="1"/>
  <c r="AS44" i="8" s="1"/>
  <c r="AS45" i="8" a="1"/>
  <c r="AS45" i="8" s="1"/>
  <c r="AS46" i="8" a="1"/>
  <c r="AS46" i="8" s="1"/>
  <c r="AS47" i="8" a="1"/>
  <c r="AS47" i="8" s="1"/>
  <c r="AS48" i="8" a="1"/>
  <c r="AS48" i="8" s="1"/>
  <c r="AS49" i="8" a="1"/>
  <c r="AS49" i="8" s="1"/>
  <c r="AS50" i="8" a="1"/>
  <c r="AS50" i="8" s="1"/>
  <c r="AS51" i="8" a="1"/>
  <c r="AS51" i="8" s="1"/>
  <c r="AS52" i="8" a="1"/>
  <c r="AS52" i="8" s="1"/>
  <c r="AS53" i="8" a="1"/>
  <c r="AS53" i="8" s="1"/>
  <c r="AS54" i="8" a="1"/>
  <c r="AS54" i="8" s="1"/>
  <c r="AS55" i="8" a="1"/>
  <c r="AS55" i="8" s="1"/>
  <c r="AS56" i="8" a="1"/>
  <c r="AS56" i="8" s="1"/>
  <c r="AS57" i="8" a="1"/>
  <c r="AS57" i="8" s="1"/>
  <c r="AS58" i="8" a="1"/>
  <c r="AS58" i="8" s="1"/>
  <c r="AS59" i="8" a="1"/>
  <c r="AS59" i="8" s="1"/>
  <c r="AS60" i="8" a="1"/>
  <c r="AS60" i="8" s="1"/>
  <c r="AS61" i="8" a="1"/>
  <c r="AS61" i="8" s="1"/>
  <c r="AS62" i="8" a="1"/>
  <c r="AS62" i="8" s="1"/>
  <c r="AS63" i="8" a="1"/>
  <c r="AS63" i="8" s="1"/>
  <c r="AS64" i="8" a="1"/>
  <c r="AS64" i="8" s="1"/>
  <c r="AS65" i="8" a="1"/>
  <c r="AS65" i="8" s="1"/>
  <c r="AS66" i="8" a="1"/>
  <c r="AS66" i="8" s="1"/>
  <c r="AS67" i="8" a="1"/>
  <c r="AS67" i="8" s="1"/>
  <c r="AS68" i="8" a="1"/>
  <c r="AS68" i="8" s="1"/>
  <c r="AS69" i="8" a="1"/>
  <c r="AS69" i="8" s="1"/>
  <c r="AR12" i="8" a="1"/>
  <c r="AR12" i="8" s="1"/>
  <c r="AR13" i="8" a="1"/>
  <c r="AR13" i="8" s="1"/>
  <c r="AR14" i="8" a="1"/>
  <c r="AR14" i="8" s="1"/>
  <c r="AR15" i="8" a="1"/>
  <c r="AR15" i="8" s="1"/>
  <c r="AR16" i="8" a="1"/>
  <c r="AR16" i="8" s="1"/>
  <c r="AR17" i="8" a="1"/>
  <c r="AR17" i="8" s="1"/>
  <c r="AR18" i="8" a="1"/>
  <c r="AR18" i="8" s="1"/>
  <c r="AR19" i="8" a="1"/>
  <c r="AR19" i="8" s="1"/>
  <c r="AR20" i="8" a="1"/>
  <c r="AR20" i="8" s="1"/>
  <c r="AR21" i="8" a="1"/>
  <c r="AR21" i="8" s="1"/>
  <c r="AR22" i="8" a="1"/>
  <c r="AR22" i="8" s="1"/>
  <c r="AR23" i="8" a="1"/>
  <c r="AR23" i="8" s="1"/>
  <c r="AR24" i="8" a="1"/>
  <c r="AR24" i="8" s="1"/>
  <c r="AR25" i="8" a="1"/>
  <c r="AR25" i="8" s="1"/>
  <c r="AR26" i="8" a="1"/>
  <c r="AR26" i="8" s="1"/>
  <c r="AR27" i="8" a="1"/>
  <c r="AR27" i="8" s="1"/>
  <c r="AR28" i="8" a="1"/>
  <c r="AR28" i="8" s="1"/>
  <c r="AR29" i="8" a="1"/>
  <c r="AR29" i="8" s="1"/>
  <c r="AR30" i="8" a="1"/>
  <c r="AR30" i="8" s="1"/>
  <c r="AR31" i="8" a="1"/>
  <c r="AR31" i="8" s="1"/>
  <c r="AR32" i="8" a="1"/>
  <c r="AR32" i="8" s="1"/>
  <c r="AR33" i="8" a="1"/>
  <c r="AR33" i="8" s="1"/>
  <c r="AR34" i="8" a="1"/>
  <c r="AR34" i="8" s="1"/>
  <c r="AR35" i="8" a="1"/>
  <c r="AR35" i="8" s="1"/>
  <c r="AR36" i="8" a="1"/>
  <c r="AR36" i="8" s="1"/>
  <c r="AR37" i="8" a="1"/>
  <c r="AR37" i="8" s="1"/>
  <c r="AR38" i="8" a="1"/>
  <c r="AR38" i="8" s="1"/>
  <c r="AR39" i="8" a="1"/>
  <c r="AR39" i="8" s="1"/>
  <c r="AR40" i="8" a="1"/>
  <c r="AR40" i="8" s="1"/>
  <c r="AR41" i="8" a="1"/>
  <c r="AR41" i="8" s="1"/>
  <c r="AR42" i="8" a="1"/>
  <c r="AR42" i="8" s="1"/>
  <c r="AR43" i="8" a="1"/>
  <c r="AR43" i="8" s="1"/>
  <c r="AR44" i="8" a="1"/>
  <c r="AR44" i="8" s="1"/>
  <c r="AR45" i="8" a="1"/>
  <c r="AR45" i="8" s="1"/>
  <c r="AR46" i="8" a="1"/>
  <c r="AR46" i="8" s="1"/>
  <c r="AR47" i="8" a="1"/>
  <c r="AR47" i="8" s="1"/>
  <c r="AR48" i="8" a="1"/>
  <c r="AR48" i="8" s="1"/>
  <c r="AR49" i="8" a="1"/>
  <c r="AR49" i="8" s="1"/>
  <c r="AR50" i="8" a="1"/>
  <c r="AR50" i="8" s="1"/>
  <c r="AR51" i="8" a="1"/>
  <c r="AR51" i="8" s="1"/>
  <c r="AR52" i="8" a="1"/>
  <c r="AR52" i="8" s="1"/>
  <c r="AR53" i="8" a="1"/>
  <c r="AR53" i="8" s="1"/>
  <c r="AR54" i="8" a="1"/>
  <c r="AR54" i="8" s="1"/>
  <c r="AR55" i="8" a="1"/>
  <c r="AR55" i="8" s="1"/>
  <c r="AR56" i="8" a="1"/>
  <c r="AR56" i="8" s="1"/>
  <c r="AR57" i="8" a="1"/>
  <c r="AR57" i="8" s="1"/>
  <c r="AR58" i="8" a="1"/>
  <c r="AR58" i="8" s="1"/>
  <c r="AR59" i="8" a="1"/>
  <c r="AR59" i="8" s="1"/>
  <c r="AR60" i="8" a="1"/>
  <c r="AR60" i="8" s="1"/>
  <c r="AR61" i="8" a="1"/>
  <c r="AR61" i="8" s="1"/>
  <c r="AR62" i="8" a="1"/>
  <c r="AR62" i="8" s="1"/>
  <c r="AR63" i="8" a="1"/>
  <c r="AR63" i="8" s="1"/>
  <c r="AR64" i="8" a="1"/>
  <c r="AR64" i="8" s="1"/>
  <c r="AR65" i="8" a="1"/>
  <c r="AR65" i="8" s="1"/>
  <c r="AR66" i="8" a="1"/>
  <c r="AR66" i="8" s="1"/>
  <c r="AR67" i="8" a="1"/>
  <c r="AR67" i="8" s="1"/>
  <c r="AR68" i="8" a="1"/>
  <c r="AR68" i="8" s="1"/>
  <c r="AR69" i="8" a="1"/>
  <c r="AR69" i="8" s="1"/>
  <c r="AQ12" i="8" a="1"/>
  <c r="AQ12" i="8" s="1"/>
  <c r="AQ13" i="8" a="1"/>
  <c r="AQ13" i="8" s="1"/>
  <c r="AQ14" i="8" a="1"/>
  <c r="AQ14" i="8" s="1"/>
  <c r="AQ15" i="8" a="1"/>
  <c r="AQ15" i="8" s="1"/>
  <c r="AQ16" i="8" a="1"/>
  <c r="AQ16" i="8" s="1"/>
  <c r="AQ17" i="8" a="1"/>
  <c r="AQ17" i="8" s="1"/>
  <c r="AQ18" i="8" a="1"/>
  <c r="AQ18" i="8" s="1"/>
  <c r="AQ19" i="8" a="1"/>
  <c r="AQ19" i="8" s="1"/>
  <c r="AQ20" i="8" a="1"/>
  <c r="AQ20" i="8" s="1"/>
  <c r="AQ21" i="8" a="1"/>
  <c r="AQ21" i="8" s="1"/>
  <c r="AQ22" i="8" a="1"/>
  <c r="AQ22" i="8" s="1"/>
  <c r="AQ23" i="8" a="1"/>
  <c r="AQ23" i="8" s="1"/>
  <c r="AQ24" i="8" a="1"/>
  <c r="AQ24" i="8" s="1"/>
  <c r="AQ25" i="8" a="1"/>
  <c r="AQ25" i="8" s="1"/>
  <c r="AQ26" i="8" a="1"/>
  <c r="AQ26" i="8" s="1"/>
  <c r="AQ27" i="8" a="1"/>
  <c r="AQ27" i="8" s="1"/>
  <c r="AQ28" i="8" a="1"/>
  <c r="AQ28" i="8" s="1"/>
  <c r="AQ29" i="8" a="1"/>
  <c r="AQ29" i="8" s="1"/>
  <c r="AQ30" i="8" a="1"/>
  <c r="AQ30" i="8" s="1"/>
  <c r="AQ31" i="8" a="1"/>
  <c r="AQ31" i="8" s="1"/>
  <c r="AQ32" i="8" a="1"/>
  <c r="AQ32" i="8" s="1"/>
  <c r="AQ33" i="8" a="1"/>
  <c r="AQ33" i="8" s="1"/>
  <c r="AQ34" i="8" a="1"/>
  <c r="AQ34" i="8" s="1"/>
  <c r="AQ35" i="8" a="1"/>
  <c r="AQ35" i="8" s="1"/>
  <c r="AQ36" i="8" a="1"/>
  <c r="AQ36" i="8" s="1"/>
  <c r="AQ37" i="8" a="1"/>
  <c r="AQ37" i="8" s="1"/>
  <c r="AQ38" i="8" a="1"/>
  <c r="AQ38" i="8" s="1"/>
  <c r="AQ39" i="8" a="1"/>
  <c r="AQ39" i="8" s="1"/>
  <c r="AQ40" i="8" a="1"/>
  <c r="AQ40" i="8" s="1"/>
  <c r="AQ41" i="8" a="1"/>
  <c r="AQ41" i="8" s="1"/>
  <c r="AQ42" i="8" a="1"/>
  <c r="AQ42" i="8" s="1"/>
  <c r="AQ43" i="8" a="1"/>
  <c r="AQ43" i="8" s="1"/>
  <c r="AQ44" i="8" a="1"/>
  <c r="AQ44" i="8" s="1"/>
  <c r="AQ45" i="8" a="1"/>
  <c r="AQ45" i="8" s="1"/>
  <c r="AQ46" i="8" a="1"/>
  <c r="AQ46" i="8" s="1"/>
  <c r="AQ47" i="8" a="1"/>
  <c r="AQ47" i="8" s="1"/>
  <c r="AQ48" i="8" a="1"/>
  <c r="AQ48" i="8" s="1"/>
  <c r="AQ49" i="8" a="1"/>
  <c r="AQ49" i="8" s="1"/>
  <c r="AQ50" i="8" a="1"/>
  <c r="AQ50" i="8" s="1"/>
  <c r="AQ51" i="8" a="1"/>
  <c r="AQ51" i="8" s="1"/>
  <c r="AQ52" i="8" a="1"/>
  <c r="AQ52" i="8" s="1"/>
  <c r="AQ53" i="8" a="1"/>
  <c r="AQ53" i="8" s="1"/>
  <c r="AQ54" i="8" a="1"/>
  <c r="AQ54" i="8" s="1"/>
  <c r="AQ55" i="8" a="1"/>
  <c r="AQ55" i="8" s="1"/>
  <c r="AQ56" i="8" a="1"/>
  <c r="AQ56" i="8" s="1"/>
  <c r="AQ57" i="8" a="1"/>
  <c r="AQ57" i="8" s="1"/>
  <c r="AQ58" i="8" a="1"/>
  <c r="AQ58" i="8" s="1"/>
  <c r="AQ59" i="8" a="1"/>
  <c r="AQ59" i="8" s="1"/>
  <c r="AQ60" i="8" a="1"/>
  <c r="AQ60" i="8" s="1"/>
  <c r="AQ61" i="8" a="1"/>
  <c r="AQ61" i="8" s="1"/>
  <c r="AQ62" i="8" a="1"/>
  <c r="AQ62" i="8" s="1"/>
  <c r="AQ63" i="8" a="1"/>
  <c r="AQ63" i="8" s="1"/>
  <c r="AQ64" i="8" a="1"/>
  <c r="AQ64" i="8" s="1"/>
  <c r="AQ65" i="8" a="1"/>
  <c r="AQ65" i="8" s="1"/>
  <c r="AQ66" i="8" a="1"/>
  <c r="AQ66" i="8" s="1"/>
  <c r="AQ67" i="8" a="1"/>
  <c r="AQ67" i="8" s="1"/>
  <c r="AQ68" i="8" a="1"/>
  <c r="AQ68" i="8" s="1"/>
  <c r="AQ69" i="8" a="1"/>
  <c r="AQ69" i="8" s="1"/>
  <c r="AP12" i="8" a="1"/>
  <c r="AP12" i="8" s="1"/>
  <c r="AP13" i="8" a="1"/>
  <c r="AP13" i="8" s="1"/>
  <c r="AP14" i="8" a="1"/>
  <c r="AP14" i="8" s="1"/>
  <c r="AP15" i="8" a="1"/>
  <c r="AP15" i="8" s="1"/>
  <c r="AP16" i="8" a="1"/>
  <c r="AP16" i="8" s="1"/>
  <c r="AP17" i="8" a="1"/>
  <c r="AP17" i="8" s="1"/>
  <c r="AP18" i="8" a="1"/>
  <c r="AP18" i="8" s="1"/>
  <c r="AP19" i="8" a="1"/>
  <c r="AP19" i="8" s="1"/>
  <c r="AP20" i="8" a="1"/>
  <c r="AP20" i="8" s="1"/>
  <c r="AP21" i="8" a="1"/>
  <c r="AP21" i="8" s="1"/>
  <c r="AP22" i="8" a="1"/>
  <c r="AP22" i="8" s="1"/>
  <c r="AP23" i="8" a="1"/>
  <c r="AP23" i="8" s="1"/>
  <c r="AP24" i="8" a="1"/>
  <c r="AP24" i="8" s="1"/>
  <c r="AP25" i="8" a="1"/>
  <c r="AP25" i="8" s="1"/>
  <c r="AP26" i="8" a="1"/>
  <c r="AP26" i="8" s="1"/>
  <c r="AP27" i="8" a="1"/>
  <c r="AP27" i="8" s="1"/>
  <c r="AP28" i="8" a="1"/>
  <c r="AP28" i="8" s="1"/>
  <c r="AP29" i="8" a="1"/>
  <c r="AP29" i="8" s="1"/>
  <c r="AP30" i="8" a="1"/>
  <c r="AP30" i="8" s="1"/>
  <c r="AP31" i="8" a="1"/>
  <c r="AP31" i="8" s="1"/>
  <c r="AP32" i="8" a="1"/>
  <c r="AP32" i="8" s="1"/>
  <c r="AP33" i="8" a="1"/>
  <c r="AP33" i="8" s="1"/>
  <c r="AP34" i="8" a="1"/>
  <c r="AP34" i="8" s="1"/>
  <c r="AP35" i="8" a="1"/>
  <c r="AP35" i="8" s="1"/>
  <c r="AP36" i="8" a="1"/>
  <c r="AP36" i="8" s="1"/>
  <c r="AP37" i="8" a="1"/>
  <c r="AP37" i="8" s="1"/>
  <c r="AP38" i="8" a="1"/>
  <c r="AP38" i="8" s="1"/>
  <c r="AP39" i="8" a="1"/>
  <c r="AP39" i="8" s="1"/>
  <c r="AP40" i="8" a="1"/>
  <c r="AP40" i="8" s="1"/>
  <c r="AP41" i="8" a="1"/>
  <c r="AP41" i="8" s="1"/>
  <c r="AP42" i="8" a="1"/>
  <c r="AP42" i="8" s="1"/>
  <c r="AP43" i="8" a="1"/>
  <c r="AP43" i="8" s="1"/>
  <c r="AP44" i="8" a="1"/>
  <c r="AP44" i="8" s="1"/>
  <c r="AP45" i="8" a="1"/>
  <c r="AP45" i="8" s="1"/>
  <c r="AP46" i="8" a="1"/>
  <c r="AP46" i="8" s="1"/>
  <c r="AP47" i="8" a="1"/>
  <c r="AP47" i="8" s="1"/>
  <c r="AP48" i="8" a="1"/>
  <c r="AP48" i="8" s="1"/>
  <c r="AP49" i="8" a="1"/>
  <c r="AP49" i="8" s="1"/>
  <c r="AP50" i="8" a="1"/>
  <c r="AP50" i="8" s="1"/>
  <c r="AP51" i="8" a="1"/>
  <c r="AP51" i="8" s="1"/>
  <c r="AP52" i="8" a="1"/>
  <c r="AP52" i="8" s="1"/>
  <c r="AP53" i="8" a="1"/>
  <c r="AP53" i="8" s="1"/>
  <c r="AP54" i="8" a="1"/>
  <c r="AP54" i="8" s="1"/>
  <c r="AP55" i="8" a="1"/>
  <c r="AP55" i="8" s="1"/>
  <c r="AP56" i="8" a="1"/>
  <c r="AP56" i="8" s="1"/>
  <c r="AP57" i="8" a="1"/>
  <c r="AP57" i="8" s="1"/>
  <c r="AP58" i="8" a="1"/>
  <c r="AP58" i="8" s="1"/>
  <c r="AP59" i="8" a="1"/>
  <c r="AP59" i="8" s="1"/>
  <c r="AP60" i="8" a="1"/>
  <c r="AP60" i="8" s="1"/>
  <c r="AP61" i="8" a="1"/>
  <c r="AP61" i="8" s="1"/>
  <c r="AP62" i="8" a="1"/>
  <c r="AP62" i="8" s="1"/>
  <c r="AP63" i="8" a="1"/>
  <c r="AP63" i="8" s="1"/>
  <c r="AP64" i="8" a="1"/>
  <c r="AP64" i="8" s="1"/>
  <c r="AP65" i="8" a="1"/>
  <c r="AP65" i="8" s="1"/>
  <c r="AP66" i="8" a="1"/>
  <c r="AP66" i="8" s="1"/>
  <c r="AP67" i="8" a="1"/>
  <c r="AP67" i="8" s="1"/>
  <c r="AP68" i="8" a="1"/>
  <c r="AP68" i="8" s="1"/>
  <c r="AP69" i="8" a="1"/>
  <c r="AP69" i="8" s="1"/>
  <c r="AO12" i="8" a="1"/>
  <c r="AO12" i="8" s="1"/>
  <c r="AO13" i="8" a="1"/>
  <c r="AO13" i="8" s="1"/>
  <c r="AO14" i="8" a="1"/>
  <c r="AO14" i="8" s="1"/>
  <c r="AO15" i="8" a="1"/>
  <c r="AO15" i="8" s="1"/>
  <c r="AO16" i="8" a="1"/>
  <c r="AO16" i="8" s="1"/>
  <c r="AO17" i="8" a="1"/>
  <c r="AO17" i="8" s="1"/>
  <c r="AO18" i="8" a="1"/>
  <c r="AO18" i="8" s="1"/>
  <c r="AO19" i="8" a="1"/>
  <c r="AO19" i="8" s="1"/>
  <c r="AO20" i="8" a="1"/>
  <c r="AO20" i="8" s="1"/>
  <c r="AO21" i="8" a="1"/>
  <c r="AO21" i="8" s="1"/>
  <c r="AO22" i="8" a="1"/>
  <c r="AO22" i="8" s="1"/>
  <c r="AO23" i="8" a="1"/>
  <c r="AO23" i="8" s="1"/>
  <c r="AO24" i="8" a="1"/>
  <c r="AO24" i="8" s="1"/>
  <c r="AO25" i="8" a="1"/>
  <c r="AO25" i="8" s="1"/>
  <c r="AO26" i="8" a="1"/>
  <c r="AO26" i="8" s="1"/>
  <c r="AO27" i="8" a="1"/>
  <c r="AO27" i="8" s="1"/>
  <c r="AO28" i="8" a="1"/>
  <c r="AO28" i="8" s="1"/>
  <c r="AO29" i="8" a="1"/>
  <c r="AO29" i="8" s="1"/>
  <c r="AO30" i="8" a="1"/>
  <c r="AO30" i="8" s="1"/>
  <c r="AO31" i="8" a="1"/>
  <c r="AO31" i="8" s="1"/>
  <c r="AO32" i="8" a="1"/>
  <c r="AO32" i="8" s="1"/>
  <c r="AO33" i="8" a="1"/>
  <c r="AO33" i="8" s="1"/>
  <c r="AO34" i="8" a="1"/>
  <c r="AO34" i="8" s="1"/>
  <c r="AO35" i="8" a="1"/>
  <c r="AO35" i="8" s="1"/>
  <c r="AO36" i="8" a="1"/>
  <c r="AO36" i="8" s="1"/>
  <c r="AO37" i="8" a="1"/>
  <c r="AO37" i="8" s="1"/>
  <c r="AO38" i="8" a="1"/>
  <c r="AO38" i="8" s="1"/>
  <c r="AO39" i="8" a="1"/>
  <c r="AO39" i="8" s="1"/>
  <c r="AO40" i="8" a="1"/>
  <c r="AO40" i="8" s="1"/>
  <c r="AO41" i="8" a="1"/>
  <c r="AO41" i="8" s="1"/>
  <c r="AO42" i="8" a="1"/>
  <c r="AO42" i="8" s="1"/>
  <c r="AO43" i="8" a="1"/>
  <c r="AO43" i="8" s="1"/>
  <c r="AO44" i="8" a="1"/>
  <c r="AO44" i="8" s="1"/>
  <c r="AO45" i="8" a="1"/>
  <c r="AO45" i="8" s="1"/>
  <c r="AO46" i="8" a="1"/>
  <c r="AO46" i="8" s="1"/>
  <c r="AO47" i="8" a="1"/>
  <c r="AO47" i="8" s="1"/>
  <c r="AO48" i="8" a="1"/>
  <c r="AO48" i="8" s="1"/>
  <c r="AO49" i="8" a="1"/>
  <c r="AO49" i="8" s="1"/>
  <c r="AO50" i="8" a="1"/>
  <c r="AO50" i="8" s="1"/>
  <c r="AO51" i="8" a="1"/>
  <c r="AO51" i="8" s="1"/>
  <c r="AO52" i="8" a="1"/>
  <c r="AO52" i="8" s="1"/>
  <c r="AO53" i="8" a="1"/>
  <c r="AO53" i="8" s="1"/>
  <c r="AO54" i="8" a="1"/>
  <c r="AO54" i="8" s="1"/>
  <c r="AO55" i="8" a="1"/>
  <c r="AO55" i="8" s="1"/>
  <c r="AO56" i="8" a="1"/>
  <c r="AO56" i="8" s="1"/>
  <c r="AO57" i="8" a="1"/>
  <c r="AO57" i="8" s="1"/>
  <c r="AO58" i="8" a="1"/>
  <c r="AO58" i="8" s="1"/>
  <c r="AO59" i="8" a="1"/>
  <c r="AO59" i="8" s="1"/>
  <c r="AO60" i="8" a="1"/>
  <c r="AO60" i="8" s="1"/>
  <c r="AO61" i="8" a="1"/>
  <c r="AO61" i="8" s="1"/>
  <c r="AO62" i="8" a="1"/>
  <c r="AO62" i="8" s="1"/>
  <c r="AO63" i="8" a="1"/>
  <c r="AO63" i="8" s="1"/>
  <c r="AO64" i="8" a="1"/>
  <c r="AO64" i="8" s="1"/>
  <c r="AO65" i="8" a="1"/>
  <c r="AO65" i="8" s="1"/>
  <c r="AO66" i="8" a="1"/>
  <c r="AO66" i="8" s="1"/>
  <c r="AO67" i="8" a="1"/>
  <c r="AO67" i="8" s="1"/>
  <c r="AO68" i="8" a="1"/>
  <c r="AO68" i="8" s="1"/>
  <c r="AO69" i="8" a="1"/>
  <c r="AO69" i="8" s="1"/>
  <c r="AN12" i="8" a="1"/>
  <c r="AN12" i="8" s="1"/>
  <c r="AN13" i="8" a="1"/>
  <c r="AN13" i="8" s="1"/>
  <c r="AN14" i="8" a="1"/>
  <c r="AN14" i="8" s="1"/>
  <c r="AN15" i="8" a="1"/>
  <c r="AN15" i="8" s="1"/>
  <c r="AN16" i="8" a="1"/>
  <c r="AN16" i="8" s="1"/>
  <c r="AN17" i="8" a="1"/>
  <c r="AN17" i="8" s="1"/>
  <c r="AN18" i="8" a="1"/>
  <c r="AN18" i="8" s="1"/>
  <c r="AN19" i="8" a="1"/>
  <c r="AN19" i="8" s="1"/>
  <c r="AN20" i="8" a="1"/>
  <c r="AN20" i="8" s="1"/>
  <c r="AN21" i="8" a="1"/>
  <c r="AN21" i="8" s="1"/>
  <c r="AN22" i="8" a="1"/>
  <c r="AN22" i="8" s="1"/>
  <c r="AN23" i="8" a="1"/>
  <c r="AN23" i="8" s="1"/>
  <c r="AN24" i="8" a="1"/>
  <c r="AN24" i="8" s="1"/>
  <c r="AN25" i="8" a="1"/>
  <c r="AN25" i="8" s="1"/>
  <c r="AN26" i="8" a="1"/>
  <c r="AN26" i="8" s="1"/>
  <c r="AN27" i="8" a="1"/>
  <c r="AN27" i="8" s="1"/>
  <c r="AN28" i="8" a="1"/>
  <c r="AN28" i="8" s="1"/>
  <c r="AN29" i="8" a="1"/>
  <c r="AN29" i="8" s="1"/>
  <c r="AN30" i="8" a="1"/>
  <c r="AN30" i="8" s="1"/>
  <c r="AN31" i="8" a="1"/>
  <c r="AN31" i="8" s="1"/>
  <c r="AN32" i="8" a="1"/>
  <c r="AN32" i="8" s="1"/>
  <c r="AN33" i="8" a="1"/>
  <c r="AN33" i="8" s="1"/>
  <c r="AN34" i="8" a="1"/>
  <c r="AN34" i="8" s="1"/>
  <c r="AN35" i="8" a="1"/>
  <c r="AN35" i="8" s="1"/>
  <c r="AN36" i="8" a="1"/>
  <c r="AN36" i="8" s="1"/>
  <c r="AN37" i="8" a="1"/>
  <c r="AN37" i="8" s="1"/>
  <c r="AN38" i="8" a="1"/>
  <c r="AN38" i="8" s="1"/>
  <c r="AN39" i="8" a="1"/>
  <c r="AN39" i="8" s="1"/>
  <c r="AN40" i="8" a="1"/>
  <c r="AN40" i="8" s="1"/>
  <c r="AN41" i="8" a="1"/>
  <c r="AN41" i="8" s="1"/>
  <c r="AN42" i="8" a="1"/>
  <c r="AN42" i="8" s="1"/>
  <c r="AN43" i="8" a="1"/>
  <c r="AN43" i="8" s="1"/>
  <c r="AN44" i="8" a="1"/>
  <c r="AN44" i="8" s="1"/>
  <c r="AN45" i="8" a="1"/>
  <c r="AN45" i="8" s="1"/>
  <c r="AN46" i="8" a="1"/>
  <c r="AN46" i="8" s="1"/>
  <c r="AN47" i="8" a="1"/>
  <c r="AN47" i="8" s="1"/>
  <c r="AN48" i="8" a="1"/>
  <c r="AN48" i="8" s="1"/>
  <c r="AN49" i="8" a="1"/>
  <c r="AN49" i="8" s="1"/>
  <c r="AN50" i="8" a="1"/>
  <c r="AN50" i="8" s="1"/>
  <c r="AN51" i="8" a="1"/>
  <c r="AN51" i="8" s="1"/>
  <c r="AN52" i="8" a="1"/>
  <c r="AN52" i="8" s="1"/>
  <c r="AN53" i="8" a="1"/>
  <c r="AN53" i="8" s="1"/>
  <c r="AN54" i="8" a="1"/>
  <c r="AN54" i="8" s="1"/>
  <c r="AN55" i="8" a="1"/>
  <c r="AN55" i="8" s="1"/>
  <c r="AN56" i="8" a="1"/>
  <c r="AN56" i="8" s="1"/>
  <c r="AN57" i="8" a="1"/>
  <c r="AN57" i="8" s="1"/>
  <c r="AN58" i="8" a="1"/>
  <c r="AN58" i="8" s="1"/>
  <c r="AN59" i="8" a="1"/>
  <c r="AN59" i="8" s="1"/>
  <c r="AN60" i="8" a="1"/>
  <c r="AN60" i="8" s="1"/>
  <c r="AN61" i="8" a="1"/>
  <c r="AN61" i="8" s="1"/>
  <c r="AN62" i="8" a="1"/>
  <c r="AN62" i="8" s="1"/>
  <c r="AN63" i="8" a="1"/>
  <c r="AN63" i="8" s="1"/>
  <c r="AN64" i="8" a="1"/>
  <c r="AN64" i="8" s="1"/>
  <c r="AN65" i="8" a="1"/>
  <c r="AN65" i="8" s="1"/>
  <c r="AN66" i="8" a="1"/>
  <c r="AN66" i="8" s="1"/>
  <c r="AN67" i="8" a="1"/>
  <c r="AN67" i="8" s="1"/>
  <c r="AN68" i="8" a="1"/>
  <c r="AN68" i="8" s="1"/>
  <c r="AN69" i="8" a="1"/>
  <c r="AN69" i="8" s="1"/>
  <c r="AM12" i="8" a="1"/>
  <c r="AM12" i="8" s="1"/>
  <c r="AM13" i="8" a="1"/>
  <c r="AM13" i="8" s="1"/>
  <c r="AM14" i="8" a="1"/>
  <c r="AM14" i="8" s="1"/>
  <c r="AM15" i="8" a="1"/>
  <c r="AM15" i="8" s="1"/>
  <c r="AM16" i="8" a="1"/>
  <c r="AM16" i="8" s="1"/>
  <c r="AM17" i="8" a="1"/>
  <c r="AM17" i="8" s="1"/>
  <c r="AM18" i="8" a="1"/>
  <c r="AM18" i="8" s="1"/>
  <c r="AM19" i="8" a="1"/>
  <c r="AM19" i="8" s="1"/>
  <c r="AM20" i="8" a="1"/>
  <c r="AM20" i="8" s="1"/>
  <c r="AM21" i="8" a="1"/>
  <c r="AM21" i="8" s="1"/>
  <c r="AM22" i="8" a="1"/>
  <c r="AM22" i="8" s="1"/>
  <c r="AM23" i="8" a="1"/>
  <c r="AM23" i="8" s="1"/>
  <c r="AM24" i="8" a="1"/>
  <c r="AM24" i="8" s="1"/>
  <c r="AM25" i="8" a="1"/>
  <c r="AM25" i="8" s="1"/>
  <c r="AM26" i="8" a="1"/>
  <c r="AM26" i="8" s="1"/>
  <c r="AM27" i="8" a="1"/>
  <c r="AM27" i="8" s="1"/>
  <c r="AM28" i="8" a="1"/>
  <c r="AM28" i="8" s="1"/>
  <c r="AM29" i="8" a="1"/>
  <c r="AM29" i="8" s="1"/>
  <c r="AM30" i="8" a="1"/>
  <c r="AM30" i="8" s="1"/>
  <c r="AM31" i="8" a="1"/>
  <c r="AM31" i="8" s="1"/>
  <c r="AM32" i="8" a="1"/>
  <c r="AM32" i="8" s="1"/>
  <c r="AM33" i="8" a="1"/>
  <c r="AM33" i="8" s="1"/>
  <c r="AM34" i="8" a="1"/>
  <c r="AM34" i="8" s="1"/>
  <c r="AM35" i="8" a="1"/>
  <c r="AM35" i="8" s="1"/>
  <c r="AM36" i="8" a="1"/>
  <c r="AM36" i="8" s="1"/>
  <c r="AM37" i="8" a="1"/>
  <c r="AM37" i="8" s="1"/>
  <c r="AM38" i="8" a="1"/>
  <c r="AM38" i="8" s="1"/>
  <c r="AM39" i="8" a="1"/>
  <c r="AM39" i="8" s="1"/>
  <c r="AM40" i="8" a="1"/>
  <c r="AM40" i="8" s="1"/>
  <c r="AM41" i="8" a="1"/>
  <c r="AM41" i="8" s="1"/>
  <c r="AM42" i="8" a="1"/>
  <c r="AM42" i="8" s="1"/>
  <c r="AM43" i="8" a="1"/>
  <c r="AM43" i="8" s="1"/>
  <c r="AM44" i="8" a="1"/>
  <c r="AM44" i="8" s="1"/>
  <c r="AM45" i="8" a="1"/>
  <c r="AM45" i="8" s="1"/>
  <c r="AM46" i="8" a="1"/>
  <c r="AM46" i="8" s="1"/>
  <c r="AM47" i="8" a="1"/>
  <c r="AM47" i="8" s="1"/>
  <c r="AM48" i="8" a="1"/>
  <c r="AM48" i="8" s="1"/>
  <c r="AM49" i="8" a="1"/>
  <c r="AM49" i="8" s="1"/>
  <c r="AM50" i="8" a="1"/>
  <c r="AM50" i="8" s="1"/>
  <c r="AM51" i="8" a="1"/>
  <c r="AM51" i="8" s="1"/>
  <c r="AM52" i="8" a="1"/>
  <c r="AM52" i="8" s="1"/>
  <c r="AM53" i="8" a="1"/>
  <c r="AM53" i="8" s="1"/>
  <c r="AM54" i="8" a="1"/>
  <c r="AM54" i="8" s="1"/>
  <c r="AM55" i="8" a="1"/>
  <c r="AM55" i="8" s="1"/>
  <c r="AM56" i="8" a="1"/>
  <c r="AM56" i="8" s="1"/>
  <c r="AM57" i="8" a="1"/>
  <c r="AM57" i="8" s="1"/>
  <c r="AM58" i="8" a="1"/>
  <c r="AM58" i="8" s="1"/>
  <c r="AM59" i="8" a="1"/>
  <c r="AM59" i="8" s="1"/>
  <c r="AM60" i="8" a="1"/>
  <c r="AM60" i="8" s="1"/>
  <c r="AM61" i="8" a="1"/>
  <c r="AM61" i="8" s="1"/>
  <c r="AM62" i="8" a="1"/>
  <c r="AM62" i="8" s="1"/>
  <c r="AM63" i="8" a="1"/>
  <c r="AM63" i="8" s="1"/>
  <c r="AM64" i="8" a="1"/>
  <c r="AM64" i="8" s="1"/>
  <c r="AM65" i="8" a="1"/>
  <c r="AM65" i="8" s="1"/>
  <c r="AM66" i="8" a="1"/>
  <c r="AM66" i="8" s="1"/>
  <c r="AM67" i="8" a="1"/>
  <c r="AM67" i="8" s="1"/>
  <c r="AM68" i="8" a="1"/>
  <c r="AM68" i="8" s="1"/>
  <c r="AM69" i="8" a="1"/>
  <c r="AM69" i="8" s="1"/>
  <c r="AL12" i="8" a="1"/>
  <c r="AL12" i="8" s="1"/>
  <c r="AL13" i="8" a="1"/>
  <c r="AL13" i="8" s="1"/>
  <c r="AL14" i="8" a="1"/>
  <c r="AL14" i="8" s="1"/>
  <c r="AL15" i="8" a="1"/>
  <c r="AL15" i="8" s="1"/>
  <c r="AL16" i="8" a="1"/>
  <c r="AL16" i="8" s="1"/>
  <c r="AL17" i="8" a="1"/>
  <c r="AL17" i="8" s="1"/>
  <c r="AL18" i="8" a="1"/>
  <c r="AL18" i="8" s="1"/>
  <c r="AL19" i="8" a="1"/>
  <c r="AL19" i="8" s="1"/>
  <c r="AL20" i="8" a="1"/>
  <c r="AL20" i="8" s="1"/>
  <c r="AL21" i="8" a="1"/>
  <c r="AL21" i="8" s="1"/>
  <c r="AL22" i="8" a="1"/>
  <c r="AL22" i="8" s="1"/>
  <c r="AL23" i="8" a="1"/>
  <c r="AL23" i="8" s="1"/>
  <c r="AL24" i="8" a="1"/>
  <c r="AL24" i="8" s="1"/>
  <c r="AL25" i="8" a="1"/>
  <c r="AL25" i="8" s="1"/>
  <c r="AL26" i="8" a="1"/>
  <c r="AL26" i="8" s="1"/>
  <c r="AL27" i="8" a="1"/>
  <c r="AL27" i="8" s="1"/>
  <c r="AL28" i="8" a="1"/>
  <c r="AL28" i="8" s="1"/>
  <c r="AL29" i="8" a="1"/>
  <c r="AL29" i="8" s="1"/>
  <c r="AL30" i="8" a="1"/>
  <c r="AL30" i="8" s="1"/>
  <c r="AL31" i="8" a="1"/>
  <c r="AL31" i="8" s="1"/>
  <c r="AL32" i="8" a="1"/>
  <c r="AL32" i="8" s="1"/>
  <c r="AL33" i="8" a="1"/>
  <c r="AL33" i="8" s="1"/>
  <c r="AL34" i="8" a="1"/>
  <c r="AL34" i="8" s="1"/>
  <c r="AL35" i="8" a="1"/>
  <c r="AL35" i="8" s="1"/>
  <c r="AL36" i="8" a="1"/>
  <c r="AL36" i="8" s="1"/>
  <c r="AL37" i="8" a="1"/>
  <c r="AL37" i="8" s="1"/>
  <c r="AL38" i="8" a="1"/>
  <c r="AL38" i="8" s="1"/>
  <c r="AL39" i="8" a="1"/>
  <c r="AL39" i="8" s="1"/>
  <c r="AL40" i="8" a="1"/>
  <c r="AL40" i="8" s="1"/>
  <c r="AL41" i="8" a="1"/>
  <c r="AL41" i="8" s="1"/>
  <c r="AL42" i="8" a="1"/>
  <c r="AL42" i="8" s="1"/>
  <c r="AL43" i="8" a="1"/>
  <c r="AL43" i="8" s="1"/>
  <c r="AL44" i="8" a="1"/>
  <c r="AL44" i="8" s="1"/>
  <c r="AL45" i="8" a="1"/>
  <c r="AL45" i="8" s="1"/>
  <c r="AL46" i="8" a="1"/>
  <c r="AL46" i="8" s="1"/>
  <c r="AL47" i="8" a="1"/>
  <c r="AL47" i="8" s="1"/>
  <c r="AL48" i="8" a="1"/>
  <c r="AL48" i="8" s="1"/>
  <c r="AL49" i="8" a="1"/>
  <c r="AL49" i="8" s="1"/>
  <c r="AL50" i="8" a="1"/>
  <c r="AL50" i="8" s="1"/>
  <c r="AL51" i="8" a="1"/>
  <c r="AL51" i="8" s="1"/>
  <c r="AL52" i="8" a="1"/>
  <c r="AL52" i="8" s="1"/>
  <c r="AL53" i="8" a="1"/>
  <c r="AL53" i="8" s="1"/>
  <c r="AL54" i="8" a="1"/>
  <c r="AL54" i="8" s="1"/>
  <c r="AL55" i="8" a="1"/>
  <c r="AL55" i="8" s="1"/>
  <c r="AL56" i="8" a="1"/>
  <c r="AL56" i="8" s="1"/>
  <c r="AL57" i="8" a="1"/>
  <c r="AL57" i="8" s="1"/>
  <c r="AL58" i="8" a="1"/>
  <c r="AL58" i="8" s="1"/>
  <c r="AL59" i="8" a="1"/>
  <c r="AL59" i="8" s="1"/>
  <c r="AL60" i="8" a="1"/>
  <c r="AL60" i="8" s="1"/>
  <c r="AL61" i="8" a="1"/>
  <c r="AL61" i="8" s="1"/>
  <c r="AL62" i="8" a="1"/>
  <c r="AL62" i="8" s="1"/>
  <c r="AL63" i="8" a="1"/>
  <c r="AL63" i="8" s="1"/>
  <c r="AL64" i="8" a="1"/>
  <c r="AL64" i="8" s="1"/>
  <c r="AL65" i="8" a="1"/>
  <c r="AL65" i="8" s="1"/>
  <c r="AL66" i="8" a="1"/>
  <c r="AL66" i="8" s="1"/>
  <c r="AL67" i="8" a="1"/>
  <c r="AL67" i="8" s="1"/>
  <c r="AL68" i="8" a="1"/>
  <c r="AL68" i="8" s="1"/>
  <c r="AL69" i="8" a="1"/>
  <c r="AL69" i="8" s="1"/>
  <c r="AI12" i="8" a="1"/>
  <c r="AI12" i="8" s="1"/>
  <c r="AI13" i="8" a="1"/>
  <c r="AI13" i="8" s="1"/>
  <c r="AI14" i="8" a="1"/>
  <c r="AI14" i="8" s="1"/>
  <c r="AI15" i="8" a="1"/>
  <c r="AI15" i="8" s="1"/>
  <c r="AI16" i="8" a="1"/>
  <c r="AI16" i="8" s="1"/>
  <c r="AI17" i="8" a="1"/>
  <c r="AI17" i="8" s="1"/>
  <c r="AI18" i="8" a="1"/>
  <c r="AI18" i="8" s="1"/>
  <c r="AI19" i="8" a="1"/>
  <c r="AI19" i="8" s="1"/>
  <c r="AI20" i="8" a="1"/>
  <c r="AI20" i="8" s="1"/>
  <c r="AI21" i="8" a="1"/>
  <c r="AI21" i="8" s="1"/>
  <c r="AI22" i="8" a="1"/>
  <c r="AI22" i="8" s="1"/>
  <c r="AI23" i="8" a="1"/>
  <c r="AI23" i="8" s="1"/>
  <c r="AI24" i="8" a="1"/>
  <c r="AI24" i="8" s="1"/>
  <c r="AI25" i="8" a="1"/>
  <c r="AI25" i="8" s="1"/>
  <c r="AI26" i="8" a="1"/>
  <c r="AI26" i="8" s="1"/>
  <c r="AI27" i="8" a="1"/>
  <c r="AI27" i="8" s="1"/>
  <c r="AI28" i="8" a="1"/>
  <c r="AI28" i="8" s="1"/>
  <c r="AI29" i="8" a="1"/>
  <c r="AI29" i="8" s="1"/>
  <c r="AI30" i="8" a="1"/>
  <c r="AI30" i="8" s="1"/>
  <c r="AI31" i="8" a="1"/>
  <c r="AI31" i="8" s="1"/>
  <c r="AI32" i="8" a="1"/>
  <c r="AI32" i="8" s="1"/>
  <c r="AI33" i="8" a="1"/>
  <c r="AI33" i="8" s="1"/>
  <c r="AI34" i="8" a="1"/>
  <c r="AI34" i="8" s="1"/>
  <c r="AI35" i="8" a="1"/>
  <c r="AI35" i="8" s="1"/>
  <c r="AI36" i="8" a="1"/>
  <c r="AI36" i="8" s="1"/>
  <c r="AI37" i="8" a="1"/>
  <c r="AI37" i="8" s="1"/>
  <c r="AI38" i="8" a="1"/>
  <c r="AI38" i="8" s="1"/>
  <c r="AI39" i="8" a="1"/>
  <c r="AI39" i="8" s="1"/>
  <c r="AI40" i="8" a="1"/>
  <c r="AI40" i="8" s="1"/>
  <c r="AI41" i="8" a="1"/>
  <c r="AI41" i="8" s="1"/>
  <c r="AI42" i="8" a="1"/>
  <c r="AI42" i="8" s="1"/>
  <c r="AI43" i="8" a="1"/>
  <c r="AI43" i="8" s="1"/>
  <c r="AI44" i="8" a="1"/>
  <c r="AI44" i="8" s="1"/>
  <c r="AI45" i="8" a="1"/>
  <c r="AI45" i="8" s="1"/>
  <c r="AI46" i="8" a="1"/>
  <c r="AI46" i="8" s="1"/>
  <c r="AI47" i="8" a="1"/>
  <c r="AI47" i="8" s="1"/>
  <c r="AI48" i="8" a="1"/>
  <c r="AI48" i="8" s="1"/>
  <c r="AI49" i="8" a="1"/>
  <c r="AI49" i="8" s="1"/>
  <c r="AI50" i="8" a="1"/>
  <c r="AI50" i="8" s="1"/>
  <c r="AI51" i="8" a="1"/>
  <c r="AI51" i="8" s="1"/>
  <c r="AI52" i="8" a="1"/>
  <c r="AI52" i="8" s="1"/>
  <c r="AI53" i="8" a="1"/>
  <c r="AI53" i="8" s="1"/>
  <c r="AI54" i="8" a="1"/>
  <c r="AI54" i="8" s="1"/>
  <c r="AI55" i="8" a="1"/>
  <c r="AI55" i="8" s="1"/>
  <c r="AI56" i="8" a="1"/>
  <c r="AI56" i="8" s="1"/>
  <c r="AI57" i="8" a="1"/>
  <c r="AI57" i="8" s="1"/>
  <c r="AI58" i="8" a="1"/>
  <c r="AI58" i="8" s="1"/>
  <c r="AI59" i="8" a="1"/>
  <c r="AI59" i="8" s="1"/>
  <c r="AI60" i="8" a="1"/>
  <c r="AI60" i="8" s="1"/>
  <c r="AI61" i="8" a="1"/>
  <c r="AI61" i="8" s="1"/>
  <c r="AI62" i="8" a="1"/>
  <c r="AI62" i="8" s="1"/>
  <c r="AI63" i="8" a="1"/>
  <c r="AI63" i="8" s="1"/>
  <c r="AI64" i="8" a="1"/>
  <c r="AI64" i="8" s="1"/>
  <c r="AI65" i="8" a="1"/>
  <c r="AI65" i="8" s="1"/>
  <c r="AI66" i="8" a="1"/>
  <c r="AI66" i="8" s="1"/>
  <c r="AI67" i="8" a="1"/>
  <c r="AI67" i="8" s="1"/>
  <c r="AI68" i="8" a="1"/>
  <c r="AI68" i="8" s="1"/>
  <c r="AI69" i="8" a="1"/>
  <c r="AI69" i="8" s="1"/>
  <c r="AH12" i="8" a="1"/>
  <c r="AH12" i="8" s="1"/>
  <c r="AH13" i="8" a="1"/>
  <c r="AH13" i="8" s="1"/>
  <c r="AH14" i="8" a="1"/>
  <c r="AH14" i="8" s="1"/>
  <c r="AH15" i="8" a="1"/>
  <c r="AH15" i="8" s="1"/>
  <c r="AH16" i="8" a="1"/>
  <c r="AH16" i="8" s="1"/>
  <c r="AH17" i="8" a="1"/>
  <c r="AH17" i="8" s="1"/>
  <c r="AH18" i="8" a="1"/>
  <c r="AH18" i="8" s="1"/>
  <c r="AH19" i="8" a="1"/>
  <c r="AH19" i="8" s="1"/>
  <c r="AH20" i="8" a="1"/>
  <c r="AH20" i="8" s="1"/>
  <c r="AH21" i="8" a="1"/>
  <c r="AH21" i="8" s="1"/>
  <c r="AH22" i="8" a="1"/>
  <c r="AH22" i="8" s="1"/>
  <c r="AH23" i="8" a="1"/>
  <c r="AH23" i="8" s="1"/>
  <c r="AH24" i="8" a="1"/>
  <c r="AH24" i="8" s="1"/>
  <c r="AH25" i="8" a="1"/>
  <c r="AH25" i="8" s="1"/>
  <c r="AH26" i="8" a="1"/>
  <c r="AH26" i="8" s="1"/>
  <c r="AH27" i="8" a="1"/>
  <c r="AH27" i="8" s="1"/>
  <c r="AH28" i="8" a="1"/>
  <c r="AH28" i="8" s="1"/>
  <c r="AH29" i="8" a="1"/>
  <c r="AH29" i="8" s="1"/>
  <c r="AH30" i="8" a="1"/>
  <c r="AH30" i="8" s="1"/>
  <c r="AH31" i="8" a="1"/>
  <c r="AH31" i="8" s="1"/>
  <c r="AH32" i="8" a="1"/>
  <c r="AH32" i="8" s="1"/>
  <c r="AH33" i="8" a="1"/>
  <c r="AH33" i="8" s="1"/>
  <c r="AH34" i="8" a="1"/>
  <c r="AH34" i="8" s="1"/>
  <c r="AH35" i="8" a="1"/>
  <c r="AH35" i="8" s="1"/>
  <c r="AH36" i="8" a="1"/>
  <c r="AH36" i="8" s="1"/>
  <c r="AH37" i="8" a="1"/>
  <c r="AH37" i="8" s="1"/>
  <c r="AH38" i="8" a="1"/>
  <c r="AH38" i="8" s="1"/>
  <c r="AH39" i="8" a="1"/>
  <c r="AH39" i="8" s="1"/>
  <c r="AH40" i="8" a="1"/>
  <c r="AH40" i="8" s="1"/>
  <c r="AH41" i="8" a="1"/>
  <c r="AH41" i="8" s="1"/>
  <c r="AH42" i="8" a="1"/>
  <c r="AH42" i="8" s="1"/>
  <c r="AH43" i="8" a="1"/>
  <c r="AH43" i="8" s="1"/>
  <c r="AH44" i="8" a="1"/>
  <c r="AH44" i="8" s="1"/>
  <c r="AH45" i="8" a="1"/>
  <c r="AH45" i="8" s="1"/>
  <c r="AH46" i="8" a="1"/>
  <c r="AH46" i="8" s="1"/>
  <c r="AH47" i="8" a="1"/>
  <c r="AH47" i="8" s="1"/>
  <c r="AH48" i="8" a="1"/>
  <c r="AH48" i="8" s="1"/>
  <c r="AH49" i="8" a="1"/>
  <c r="AH49" i="8" s="1"/>
  <c r="AH50" i="8" a="1"/>
  <c r="AH50" i="8" s="1"/>
  <c r="AH51" i="8" a="1"/>
  <c r="AH51" i="8" s="1"/>
  <c r="AH52" i="8" a="1"/>
  <c r="AH52" i="8" s="1"/>
  <c r="AH53" i="8" a="1"/>
  <c r="AH53" i="8" s="1"/>
  <c r="AH54" i="8" a="1"/>
  <c r="AH54" i="8" s="1"/>
  <c r="AH55" i="8" a="1"/>
  <c r="AH55" i="8" s="1"/>
  <c r="AH56" i="8" a="1"/>
  <c r="AH56" i="8" s="1"/>
  <c r="AH57" i="8" a="1"/>
  <c r="AH57" i="8" s="1"/>
  <c r="AH58" i="8" a="1"/>
  <c r="AH58" i="8" s="1"/>
  <c r="AH59" i="8" a="1"/>
  <c r="AH59" i="8" s="1"/>
  <c r="AH60" i="8" a="1"/>
  <c r="AH60" i="8" s="1"/>
  <c r="AH61" i="8" a="1"/>
  <c r="AH61" i="8" s="1"/>
  <c r="AH62" i="8" a="1"/>
  <c r="AH62" i="8" s="1"/>
  <c r="AH63" i="8" a="1"/>
  <c r="AH63" i="8" s="1"/>
  <c r="AH64" i="8" a="1"/>
  <c r="AH64" i="8" s="1"/>
  <c r="AH65" i="8" a="1"/>
  <c r="AH65" i="8" s="1"/>
  <c r="AH66" i="8" a="1"/>
  <c r="AH66" i="8" s="1"/>
  <c r="AH67" i="8" a="1"/>
  <c r="AH67" i="8" s="1"/>
  <c r="AH68" i="8" a="1"/>
  <c r="AH68" i="8" s="1"/>
  <c r="AH69" i="8" a="1"/>
  <c r="AH69" i="8" s="1"/>
  <c r="AG12" i="8" a="1"/>
  <c r="AG12" i="8" s="1"/>
  <c r="AG13" i="8" a="1"/>
  <c r="AG13" i="8" s="1"/>
  <c r="AG14" i="8" a="1"/>
  <c r="AG14" i="8" s="1"/>
  <c r="AG15" i="8" a="1"/>
  <c r="AG15" i="8" s="1"/>
  <c r="AG16" i="8" a="1"/>
  <c r="AG16" i="8" s="1"/>
  <c r="AG17" i="8" a="1"/>
  <c r="AG17" i="8" s="1"/>
  <c r="AG18" i="8" a="1"/>
  <c r="AG18" i="8" s="1"/>
  <c r="AG19" i="8" a="1"/>
  <c r="AG19" i="8" s="1"/>
  <c r="AG20" i="8" a="1"/>
  <c r="AG20" i="8" s="1"/>
  <c r="AG21" i="8" a="1"/>
  <c r="AG21" i="8" s="1"/>
  <c r="AG22" i="8" a="1"/>
  <c r="AG22" i="8" s="1"/>
  <c r="AG23" i="8" a="1"/>
  <c r="AG23" i="8" s="1"/>
  <c r="AG24" i="8" a="1"/>
  <c r="AG24" i="8" s="1"/>
  <c r="AG25" i="8" a="1"/>
  <c r="AG25" i="8" s="1"/>
  <c r="AG26" i="8" a="1"/>
  <c r="AG26" i="8" s="1"/>
  <c r="AG27" i="8" a="1"/>
  <c r="AG27" i="8" s="1"/>
  <c r="AG28" i="8" a="1"/>
  <c r="AG28" i="8" s="1"/>
  <c r="AG29" i="8" a="1"/>
  <c r="AG29" i="8" s="1"/>
  <c r="AG30" i="8" a="1"/>
  <c r="AG30" i="8" s="1"/>
  <c r="AG31" i="8" a="1"/>
  <c r="AG31" i="8" s="1"/>
  <c r="AG32" i="8" a="1"/>
  <c r="AG32" i="8" s="1"/>
  <c r="AG33" i="8" a="1"/>
  <c r="AG33" i="8" s="1"/>
  <c r="AG34" i="8" a="1"/>
  <c r="AG34" i="8" s="1"/>
  <c r="AG35" i="8" a="1"/>
  <c r="AG35" i="8" s="1"/>
  <c r="AG36" i="8" a="1"/>
  <c r="AG36" i="8" s="1"/>
  <c r="AG37" i="8" a="1"/>
  <c r="AG37" i="8" s="1"/>
  <c r="AG38" i="8" a="1"/>
  <c r="AG38" i="8" s="1"/>
  <c r="AG39" i="8" a="1"/>
  <c r="AG39" i="8" s="1"/>
  <c r="AG40" i="8" a="1"/>
  <c r="AG40" i="8" s="1"/>
  <c r="AG41" i="8" a="1"/>
  <c r="AG41" i="8" s="1"/>
  <c r="AG42" i="8" a="1"/>
  <c r="AG42" i="8" s="1"/>
  <c r="AG43" i="8" a="1"/>
  <c r="AG43" i="8" s="1"/>
  <c r="AG44" i="8" a="1"/>
  <c r="AG44" i="8" s="1"/>
  <c r="AG45" i="8" a="1"/>
  <c r="AG45" i="8" s="1"/>
  <c r="AG46" i="8" a="1"/>
  <c r="AG46" i="8" s="1"/>
  <c r="AG47" i="8" a="1"/>
  <c r="AG47" i="8" s="1"/>
  <c r="AG48" i="8" a="1"/>
  <c r="AG48" i="8" s="1"/>
  <c r="AG49" i="8" a="1"/>
  <c r="AG49" i="8" s="1"/>
  <c r="AG50" i="8" a="1"/>
  <c r="AG50" i="8" s="1"/>
  <c r="AG51" i="8" a="1"/>
  <c r="AG51" i="8" s="1"/>
  <c r="AG52" i="8" a="1"/>
  <c r="AG52" i="8" s="1"/>
  <c r="AG53" i="8" a="1"/>
  <c r="AG53" i="8" s="1"/>
  <c r="AG54" i="8" a="1"/>
  <c r="AG54" i="8" s="1"/>
  <c r="AG55" i="8" a="1"/>
  <c r="AG55" i="8" s="1"/>
  <c r="AG56" i="8" a="1"/>
  <c r="AG56" i="8" s="1"/>
  <c r="AG57" i="8" a="1"/>
  <c r="AG57" i="8" s="1"/>
  <c r="AG58" i="8" a="1"/>
  <c r="AG58" i="8" s="1"/>
  <c r="AG59" i="8" a="1"/>
  <c r="AG59" i="8" s="1"/>
  <c r="AG60" i="8" a="1"/>
  <c r="AG60" i="8" s="1"/>
  <c r="AG61" i="8" a="1"/>
  <c r="AG61" i="8" s="1"/>
  <c r="AG62" i="8" a="1"/>
  <c r="AG62" i="8" s="1"/>
  <c r="AG63" i="8" a="1"/>
  <c r="AG63" i="8" s="1"/>
  <c r="AG64" i="8" a="1"/>
  <c r="AG64" i="8" s="1"/>
  <c r="AG65" i="8" a="1"/>
  <c r="AG65" i="8" s="1"/>
  <c r="AG66" i="8" a="1"/>
  <c r="AG66" i="8" s="1"/>
  <c r="AG67" i="8" a="1"/>
  <c r="AG67" i="8" s="1"/>
  <c r="AG68" i="8" a="1"/>
  <c r="AG68" i="8" s="1"/>
  <c r="AG69" i="8" a="1"/>
  <c r="AG69" i="8" s="1"/>
  <c r="AF12" i="8" a="1"/>
  <c r="AF12" i="8" s="1"/>
  <c r="AF13" i="8" a="1"/>
  <c r="AF13" i="8" s="1"/>
  <c r="AF14" i="8" a="1"/>
  <c r="AF14" i="8" s="1"/>
  <c r="AF15" i="8" a="1"/>
  <c r="AF15" i="8" s="1"/>
  <c r="AF16" i="8" a="1"/>
  <c r="AF16" i="8" s="1"/>
  <c r="AF17" i="8" a="1"/>
  <c r="AF17" i="8" s="1"/>
  <c r="AF18" i="8" a="1"/>
  <c r="AF18" i="8" s="1"/>
  <c r="AF19" i="8" a="1"/>
  <c r="AF19" i="8" s="1"/>
  <c r="AF20" i="8" a="1"/>
  <c r="AF20" i="8" s="1"/>
  <c r="AF21" i="8" a="1"/>
  <c r="AF21" i="8" s="1"/>
  <c r="AF22" i="8" a="1"/>
  <c r="AF22" i="8" s="1"/>
  <c r="AF23" i="8" a="1"/>
  <c r="AF23" i="8" s="1"/>
  <c r="AF24" i="8" a="1"/>
  <c r="AF24" i="8" s="1"/>
  <c r="AF25" i="8" a="1"/>
  <c r="AF25" i="8" s="1"/>
  <c r="AF26" i="8" a="1"/>
  <c r="AF26" i="8" s="1"/>
  <c r="AF27" i="8" a="1"/>
  <c r="AF27" i="8" s="1"/>
  <c r="AF28" i="8" a="1"/>
  <c r="AF28" i="8" s="1"/>
  <c r="AF29" i="8" a="1"/>
  <c r="AF29" i="8" s="1"/>
  <c r="AF30" i="8" a="1"/>
  <c r="AF30" i="8" s="1"/>
  <c r="AF31" i="8" a="1"/>
  <c r="AF31" i="8" s="1"/>
  <c r="AF32" i="8" a="1"/>
  <c r="AF32" i="8" s="1"/>
  <c r="AF33" i="8" a="1"/>
  <c r="AF33" i="8" s="1"/>
  <c r="AF34" i="8" a="1"/>
  <c r="AF34" i="8" s="1"/>
  <c r="AF35" i="8" a="1"/>
  <c r="AF35" i="8" s="1"/>
  <c r="AF36" i="8" a="1"/>
  <c r="AF36" i="8" s="1"/>
  <c r="AF37" i="8" a="1"/>
  <c r="AF37" i="8" s="1"/>
  <c r="AF38" i="8" a="1"/>
  <c r="AF38" i="8" s="1"/>
  <c r="AF39" i="8" a="1"/>
  <c r="AF39" i="8" s="1"/>
  <c r="AF40" i="8" a="1"/>
  <c r="AF40" i="8" s="1"/>
  <c r="AF41" i="8" a="1"/>
  <c r="AF41" i="8" s="1"/>
  <c r="AF42" i="8" a="1"/>
  <c r="AF42" i="8" s="1"/>
  <c r="AF43" i="8" a="1"/>
  <c r="AF43" i="8" s="1"/>
  <c r="AF44" i="8" a="1"/>
  <c r="AF44" i="8" s="1"/>
  <c r="AF45" i="8" a="1"/>
  <c r="AF45" i="8" s="1"/>
  <c r="AF46" i="8" a="1"/>
  <c r="AF46" i="8" s="1"/>
  <c r="AF47" i="8" a="1"/>
  <c r="AF47" i="8" s="1"/>
  <c r="AF48" i="8" a="1"/>
  <c r="AF48" i="8" s="1"/>
  <c r="AF49" i="8" a="1"/>
  <c r="AF49" i="8" s="1"/>
  <c r="AF50" i="8" a="1"/>
  <c r="AF50" i="8" s="1"/>
  <c r="AF51" i="8" a="1"/>
  <c r="AF51" i="8" s="1"/>
  <c r="AF52" i="8" a="1"/>
  <c r="AF52" i="8" s="1"/>
  <c r="AF53" i="8" a="1"/>
  <c r="AF53" i="8" s="1"/>
  <c r="AF54" i="8" a="1"/>
  <c r="AF54" i="8" s="1"/>
  <c r="AF55" i="8" a="1"/>
  <c r="AF55" i="8" s="1"/>
  <c r="AF56" i="8" a="1"/>
  <c r="AF56" i="8" s="1"/>
  <c r="AF57" i="8" a="1"/>
  <c r="AF57" i="8" s="1"/>
  <c r="AF58" i="8" a="1"/>
  <c r="AF58" i="8" s="1"/>
  <c r="AF59" i="8" a="1"/>
  <c r="AF59" i="8" s="1"/>
  <c r="AF60" i="8" a="1"/>
  <c r="AF60" i="8" s="1"/>
  <c r="AF61" i="8" a="1"/>
  <c r="AF61" i="8" s="1"/>
  <c r="AF62" i="8" a="1"/>
  <c r="AF62" i="8" s="1"/>
  <c r="AF63" i="8" a="1"/>
  <c r="AF63" i="8" s="1"/>
  <c r="AF64" i="8" a="1"/>
  <c r="AF64" i="8" s="1"/>
  <c r="AF65" i="8" a="1"/>
  <c r="AF65" i="8" s="1"/>
  <c r="AF66" i="8" a="1"/>
  <c r="AF66" i="8" s="1"/>
  <c r="AF67" i="8" a="1"/>
  <c r="AF67" i="8" s="1"/>
  <c r="AF68" i="8" a="1"/>
  <c r="AF68" i="8" s="1"/>
  <c r="AF69" i="8" a="1"/>
  <c r="AF69" i="8" s="1"/>
  <c r="AD12" i="8" a="1"/>
  <c r="AD12" i="8" s="1"/>
  <c r="AD13" i="8" a="1"/>
  <c r="AD13" i="8" s="1"/>
  <c r="AD14" i="8" a="1"/>
  <c r="AD14" i="8" s="1"/>
  <c r="AD15" i="8" a="1"/>
  <c r="AD15" i="8" s="1"/>
  <c r="AD16" i="8" a="1"/>
  <c r="AD16" i="8" s="1"/>
  <c r="AD17" i="8" a="1"/>
  <c r="AD17" i="8" s="1"/>
  <c r="AD18" i="8" a="1"/>
  <c r="AD18" i="8" s="1"/>
  <c r="AD19" i="8" a="1"/>
  <c r="AD19" i="8" s="1"/>
  <c r="AD20" i="8" a="1"/>
  <c r="AD20" i="8" s="1"/>
  <c r="AD21" i="8" a="1"/>
  <c r="AD21" i="8" s="1"/>
  <c r="AD22" i="8" a="1"/>
  <c r="AD22" i="8" s="1"/>
  <c r="AD23" i="8" a="1"/>
  <c r="AD23" i="8" s="1"/>
  <c r="AD24" i="8" a="1"/>
  <c r="AD24" i="8" s="1"/>
  <c r="AD25" i="8" a="1"/>
  <c r="AD25" i="8" s="1"/>
  <c r="AD26" i="8" a="1"/>
  <c r="AD26" i="8" s="1"/>
  <c r="AD27" i="8" a="1"/>
  <c r="AD27" i="8" s="1"/>
  <c r="AD28" i="8" a="1"/>
  <c r="AD28" i="8" s="1"/>
  <c r="AD29" i="8" a="1"/>
  <c r="AD29" i="8" s="1"/>
  <c r="AD30" i="8" a="1"/>
  <c r="AD30" i="8" s="1"/>
  <c r="AD31" i="8" a="1"/>
  <c r="AD31" i="8" s="1"/>
  <c r="AD32" i="8" a="1"/>
  <c r="AD32" i="8" s="1"/>
  <c r="AD33" i="8" a="1"/>
  <c r="AD33" i="8" s="1"/>
  <c r="AD34" i="8" a="1"/>
  <c r="AD34" i="8" s="1"/>
  <c r="AD35" i="8" a="1"/>
  <c r="AD35" i="8" s="1"/>
  <c r="AD36" i="8" a="1"/>
  <c r="AD36" i="8" s="1"/>
  <c r="AD37" i="8" a="1"/>
  <c r="AD37" i="8" s="1"/>
  <c r="AD38" i="8" a="1"/>
  <c r="AD38" i="8" s="1"/>
  <c r="AD39" i="8" a="1"/>
  <c r="AD39" i="8" s="1"/>
  <c r="AD40" i="8" a="1"/>
  <c r="AD40" i="8" s="1"/>
  <c r="AD41" i="8" a="1"/>
  <c r="AD41" i="8" s="1"/>
  <c r="AD42" i="8" a="1"/>
  <c r="AD42" i="8" s="1"/>
  <c r="AD43" i="8" a="1"/>
  <c r="AD43" i="8" s="1"/>
  <c r="AD44" i="8" a="1"/>
  <c r="AD44" i="8" s="1"/>
  <c r="AD45" i="8" a="1"/>
  <c r="AD45" i="8" s="1"/>
  <c r="AD46" i="8" a="1"/>
  <c r="AD46" i="8" s="1"/>
  <c r="AD47" i="8" a="1"/>
  <c r="AD47" i="8" s="1"/>
  <c r="AD48" i="8" a="1"/>
  <c r="AD48" i="8" s="1"/>
  <c r="AD49" i="8" a="1"/>
  <c r="AD49" i="8" s="1"/>
  <c r="AD50" i="8" a="1"/>
  <c r="AD50" i="8" s="1"/>
  <c r="AD51" i="8" a="1"/>
  <c r="AD51" i="8" s="1"/>
  <c r="AD52" i="8" a="1"/>
  <c r="AD52" i="8" s="1"/>
  <c r="AD53" i="8" a="1"/>
  <c r="AD53" i="8" s="1"/>
  <c r="AD54" i="8" a="1"/>
  <c r="AD54" i="8" s="1"/>
  <c r="AD55" i="8" a="1"/>
  <c r="AD55" i="8" s="1"/>
  <c r="AD56" i="8" a="1"/>
  <c r="AD56" i="8" s="1"/>
  <c r="AD57" i="8" a="1"/>
  <c r="AD57" i="8" s="1"/>
  <c r="AD58" i="8" a="1"/>
  <c r="AD58" i="8" s="1"/>
  <c r="AD59" i="8" a="1"/>
  <c r="AD59" i="8" s="1"/>
  <c r="AD60" i="8" a="1"/>
  <c r="AD60" i="8" s="1"/>
  <c r="AD61" i="8" a="1"/>
  <c r="AD61" i="8" s="1"/>
  <c r="AD62" i="8" a="1"/>
  <c r="AD62" i="8" s="1"/>
  <c r="AD63" i="8" a="1"/>
  <c r="AD63" i="8" s="1"/>
  <c r="AD64" i="8" a="1"/>
  <c r="AD64" i="8" s="1"/>
  <c r="AD65" i="8" a="1"/>
  <c r="AD65" i="8" s="1"/>
  <c r="AD66" i="8" a="1"/>
  <c r="AD66" i="8" s="1"/>
  <c r="AD67" i="8" a="1"/>
  <c r="AD67" i="8" s="1"/>
  <c r="AD68" i="8" a="1"/>
  <c r="AD68" i="8" s="1"/>
  <c r="AD69" i="8" a="1"/>
  <c r="AD69" i="8" s="1"/>
  <c r="AC12" i="8" a="1"/>
  <c r="AC12" i="8" s="1"/>
  <c r="AC13" i="8" a="1"/>
  <c r="AC13" i="8" s="1"/>
  <c r="AC14" i="8" a="1"/>
  <c r="AC14" i="8" s="1"/>
  <c r="AC15" i="8" a="1"/>
  <c r="AC15" i="8" s="1"/>
  <c r="AC16" i="8" a="1"/>
  <c r="AC16" i="8" s="1"/>
  <c r="AC17" i="8" a="1"/>
  <c r="AC17" i="8" s="1"/>
  <c r="AC18" i="8" a="1"/>
  <c r="AC18" i="8" s="1"/>
  <c r="AC19" i="8" a="1"/>
  <c r="AC19" i="8" s="1"/>
  <c r="AC20" i="8" a="1"/>
  <c r="AC20" i="8" s="1"/>
  <c r="AC21" i="8" a="1"/>
  <c r="AC21" i="8" s="1"/>
  <c r="AC22" i="8" a="1"/>
  <c r="AC22" i="8" s="1"/>
  <c r="AC23" i="8" a="1"/>
  <c r="AC23" i="8" s="1"/>
  <c r="AC24" i="8" a="1"/>
  <c r="AC24" i="8" s="1"/>
  <c r="AC25" i="8" a="1"/>
  <c r="AC25" i="8" s="1"/>
  <c r="AC26" i="8" a="1"/>
  <c r="AC26" i="8" s="1"/>
  <c r="AC27" i="8" a="1"/>
  <c r="AC27" i="8" s="1"/>
  <c r="AC28" i="8" a="1"/>
  <c r="AC28" i="8" s="1"/>
  <c r="AC29" i="8" a="1"/>
  <c r="AC29" i="8" s="1"/>
  <c r="AC30" i="8" a="1"/>
  <c r="AC30" i="8" s="1"/>
  <c r="AC31" i="8" a="1"/>
  <c r="AC31" i="8" s="1"/>
  <c r="AC32" i="8" a="1"/>
  <c r="AC32" i="8" s="1"/>
  <c r="AC33" i="8" a="1"/>
  <c r="AC33" i="8" s="1"/>
  <c r="AC34" i="8" a="1"/>
  <c r="AC34" i="8" s="1"/>
  <c r="AC35" i="8" a="1"/>
  <c r="AC35" i="8" s="1"/>
  <c r="AC36" i="8" a="1"/>
  <c r="AC36" i="8" s="1"/>
  <c r="AC37" i="8" a="1"/>
  <c r="AC37" i="8" s="1"/>
  <c r="AC38" i="8" a="1"/>
  <c r="AC38" i="8" s="1"/>
  <c r="AC39" i="8" a="1"/>
  <c r="AC39" i="8" s="1"/>
  <c r="AC40" i="8" a="1"/>
  <c r="AC40" i="8" s="1"/>
  <c r="AC41" i="8" a="1"/>
  <c r="AC41" i="8" s="1"/>
  <c r="AC42" i="8" a="1"/>
  <c r="AC42" i="8" s="1"/>
  <c r="AC43" i="8" a="1"/>
  <c r="AC43" i="8" s="1"/>
  <c r="AC44" i="8" a="1"/>
  <c r="AC44" i="8" s="1"/>
  <c r="AC45" i="8" a="1"/>
  <c r="AC45" i="8" s="1"/>
  <c r="AC46" i="8" a="1"/>
  <c r="AC46" i="8" s="1"/>
  <c r="AC47" i="8" a="1"/>
  <c r="AC47" i="8" s="1"/>
  <c r="AC48" i="8" a="1"/>
  <c r="AC48" i="8" s="1"/>
  <c r="AC49" i="8" a="1"/>
  <c r="AC49" i="8" s="1"/>
  <c r="AC50" i="8" a="1"/>
  <c r="AC50" i="8" s="1"/>
  <c r="AC51" i="8" a="1"/>
  <c r="AC51" i="8" s="1"/>
  <c r="AC52" i="8" a="1"/>
  <c r="AC52" i="8" s="1"/>
  <c r="AC53" i="8" a="1"/>
  <c r="AC53" i="8" s="1"/>
  <c r="AC54" i="8" a="1"/>
  <c r="AC54" i="8" s="1"/>
  <c r="AC55" i="8" a="1"/>
  <c r="AC55" i="8" s="1"/>
  <c r="AC56" i="8" a="1"/>
  <c r="AC56" i="8" s="1"/>
  <c r="AC57" i="8" a="1"/>
  <c r="AC57" i="8" s="1"/>
  <c r="AC58" i="8" a="1"/>
  <c r="AC58" i="8" s="1"/>
  <c r="AC59" i="8" a="1"/>
  <c r="AC59" i="8" s="1"/>
  <c r="AC60" i="8" a="1"/>
  <c r="AC60" i="8" s="1"/>
  <c r="AC61" i="8" a="1"/>
  <c r="AC61" i="8" s="1"/>
  <c r="AC62" i="8" a="1"/>
  <c r="AC62" i="8" s="1"/>
  <c r="AC63" i="8" a="1"/>
  <c r="AC63" i="8" s="1"/>
  <c r="AC64" i="8" a="1"/>
  <c r="AC64" i="8" s="1"/>
  <c r="AC65" i="8" a="1"/>
  <c r="AC65" i="8" s="1"/>
  <c r="AC66" i="8" a="1"/>
  <c r="AC66" i="8" s="1"/>
  <c r="AC67" i="8" a="1"/>
  <c r="AC67" i="8" s="1"/>
  <c r="AC68" i="8" a="1"/>
  <c r="AC68" i="8" s="1"/>
  <c r="AC69" i="8" a="1"/>
  <c r="AC69" i="8" s="1"/>
  <c r="AB12" i="8" a="1"/>
  <c r="AB12" i="8" s="1"/>
  <c r="AB13" i="8" a="1"/>
  <c r="AB13" i="8" s="1"/>
  <c r="AB14" i="8" a="1"/>
  <c r="AB14" i="8" s="1"/>
  <c r="AB15" i="8" a="1"/>
  <c r="AB15" i="8" s="1"/>
  <c r="AB16" i="8" a="1"/>
  <c r="AB16" i="8" s="1"/>
  <c r="AB17" i="8" a="1"/>
  <c r="AB17" i="8" s="1"/>
  <c r="AB18" i="8" a="1"/>
  <c r="AB18" i="8" s="1"/>
  <c r="AB19" i="8" a="1"/>
  <c r="AB19" i="8" s="1"/>
  <c r="AB20" i="8" a="1"/>
  <c r="AB20" i="8" s="1"/>
  <c r="AB21" i="8" a="1"/>
  <c r="AB21" i="8" s="1"/>
  <c r="AB22" i="8" a="1"/>
  <c r="AB22" i="8" s="1"/>
  <c r="AB23" i="8" a="1"/>
  <c r="AB23" i="8" s="1"/>
  <c r="AB24" i="8" a="1"/>
  <c r="AB24" i="8" s="1"/>
  <c r="AB25" i="8" a="1"/>
  <c r="AB25" i="8" s="1"/>
  <c r="AB26" i="8" a="1"/>
  <c r="AB26" i="8" s="1"/>
  <c r="AB27" i="8" a="1"/>
  <c r="AB27" i="8" s="1"/>
  <c r="AB28" i="8" a="1"/>
  <c r="AB28" i="8" s="1"/>
  <c r="AB29" i="8" a="1"/>
  <c r="AB29" i="8" s="1"/>
  <c r="AB30" i="8" a="1"/>
  <c r="AB30" i="8" s="1"/>
  <c r="AB31" i="8" a="1"/>
  <c r="AB31" i="8" s="1"/>
  <c r="AB32" i="8" a="1"/>
  <c r="AB32" i="8" s="1"/>
  <c r="AB33" i="8" a="1"/>
  <c r="AB33" i="8" s="1"/>
  <c r="AB34" i="8" a="1"/>
  <c r="AB34" i="8" s="1"/>
  <c r="AB35" i="8" a="1"/>
  <c r="AB35" i="8" s="1"/>
  <c r="AB36" i="8" a="1"/>
  <c r="AB36" i="8" s="1"/>
  <c r="AB37" i="8" a="1"/>
  <c r="AB37" i="8" s="1"/>
  <c r="AB38" i="8" a="1"/>
  <c r="AB38" i="8" s="1"/>
  <c r="AB39" i="8" a="1"/>
  <c r="AB39" i="8" s="1"/>
  <c r="AB40" i="8" a="1"/>
  <c r="AB40" i="8" s="1"/>
  <c r="AB41" i="8" a="1"/>
  <c r="AB41" i="8" s="1"/>
  <c r="AB42" i="8" a="1"/>
  <c r="AB42" i="8" s="1"/>
  <c r="AB43" i="8" a="1"/>
  <c r="AB43" i="8" s="1"/>
  <c r="AB44" i="8" a="1"/>
  <c r="AB44" i="8" s="1"/>
  <c r="AB45" i="8" a="1"/>
  <c r="AB45" i="8" s="1"/>
  <c r="AB46" i="8" a="1"/>
  <c r="AB46" i="8" s="1"/>
  <c r="AB47" i="8" a="1"/>
  <c r="AB47" i="8" s="1"/>
  <c r="AB48" i="8" a="1"/>
  <c r="AB48" i="8" s="1"/>
  <c r="AB49" i="8" a="1"/>
  <c r="AB49" i="8" s="1"/>
  <c r="AB50" i="8" a="1"/>
  <c r="AB50" i="8" s="1"/>
  <c r="AB51" i="8" a="1"/>
  <c r="AB51" i="8" s="1"/>
  <c r="AB52" i="8" a="1"/>
  <c r="AB52" i="8" s="1"/>
  <c r="AB53" i="8" a="1"/>
  <c r="AB53" i="8" s="1"/>
  <c r="AB54" i="8" a="1"/>
  <c r="AB54" i="8" s="1"/>
  <c r="AB55" i="8" a="1"/>
  <c r="AB55" i="8" s="1"/>
  <c r="AB56" i="8" a="1"/>
  <c r="AB56" i="8" s="1"/>
  <c r="AB57" i="8" a="1"/>
  <c r="AB57" i="8" s="1"/>
  <c r="AB58" i="8" a="1"/>
  <c r="AB58" i="8" s="1"/>
  <c r="AB59" i="8" a="1"/>
  <c r="AB59" i="8" s="1"/>
  <c r="AB60" i="8" a="1"/>
  <c r="AB60" i="8" s="1"/>
  <c r="AB61" i="8" a="1"/>
  <c r="AB61" i="8" s="1"/>
  <c r="AB62" i="8" a="1"/>
  <c r="AB62" i="8" s="1"/>
  <c r="AB63" i="8" a="1"/>
  <c r="AB63" i="8" s="1"/>
  <c r="AB64" i="8" a="1"/>
  <c r="AB64" i="8" s="1"/>
  <c r="AB65" i="8" a="1"/>
  <c r="AB65" i="8" s="1"/>
  <c r="AB66" i="8" a="1"/>
  <c r="AB66" i="8" s="1"/>
  <c r="AB67" i="8" a="1"/>
  <c r="AB67" i="8" s="1"/>
  <c r="AB68" i="8" a="1"/>
  <c r="AB68" i="8" s="1"/>
  <c r="AB69" i="8" a="1"/>
  <c r="AB69" i="8" s="1"/>
  <c r="AA12" i="8" a="1"/>
  <c r="AA12" i="8" s="1"/>
  <c r="AA13" i="8" a="1"/>
  <c r="AA13" i="8" s="1"/>
  <c r="AA14" i="8" a="1"/>
  <c r="AA14" i="8" s="1"/>
  <c r="AA15" i="8" a="1"/>
  <c r="AA15" i="8" s="1"/>
  <c r="AA16" i="8" a="1"/>
  <c r="AA16" i="8" s="1"/>
  <c r="AA17" i="8" a="1"/>
  <c r="AA17" i="8" s="1"/>
  <c r="AA18" i="8" a="1"/>
  <c r="AA18" i="8" s="1"/>
  <c r="AA19" i="8" a="1"/>
  <c r="AA19" i="8" s="1"/>
  <c r="AA20" i="8" a="1"/>
  <c r="AA20" i="8" s="1"/>
  <c r="AA21" i="8" a="1"/>
  <c r="AA21" i="8" s="1"/>
  <c r="AA22" i="8" a="1"/>
  <c r="AA22" i="8" s="1"/>
  <c r="AA23" i="8" a="1"/>
  <c r="AA23" i="8" s="1"/>
  <c r="AA24" i="8" a="1"/>
  <c r="AA24" i="8" s="1"/>
  <c r="AA25" i="8" a="1"/>
  <c r="AA25" i="8" s="1"/>
  <c r="AA26" i="8" a="1"/>
  <c r="AA26" i="8" s="1"/>
  <c r="AA27" i="8" a="1"/>
  <c r="AA27" i="8" s="1"/>
  <c r="AA28" i="8" a="1"/>
  <c r="AA28" i="8" s="1"/>
  <c r="AA29" i="8" a="1"/>
  <c r="AA29" i="8" s="1"/>
  <c r="AA30" i="8" a="1"/>
  <c r="AA30" i="8" s="1"/>
  <c r="AA31" i="8" a="1"/>
  <c r="AA31" i="8" s="1"/>
  <c r="AA32" i="8" a="1"/>
  <c r="AA32" i="8" s="1"/>
  <c r="AA33" i="8" a="1"/>
  <c r="AA33" i="8" s="1"/>
  <c r="AA34" i="8" a="1"/>
  <c r="AA34" i="8" s="1"/>
  <c r="AA35" i="8" a="1"/>
  <c r="AA35" i="8" s="1"/>
  <c r="AA36" i="8" a="1"/>
  <c r="AA36" i="8" s="1"/>
  <c r="AA37" i="8" a="1"/>
  <c r="AA37" i="8" s="1"/>
  <c r="AA38" i="8" a="1"/>
  <c r="AA38" i="8" s="1"/>
  <c r="AA39" i="8" a="1"/>
  <c r="AA39" i="8" s="1"/>
  <c r="AA40" i="8" a="1"/>
  <c r="AA40" i="8" s="1"/>
  <c r="AA41" i="8" a="1"/>
  <c r="AA41" i="8" s="1"/>
  <c r="AA42" i="8" a="1"/>
  <c r="AA42" i="8" s="1"/>
  <c r="AA43" i="8" a="1"/>
  <c r="AA43" i="8" s="1"/>
  <c r="AA44" i="8" a="1"/>
  <c r="AA44" i="8" s="1"/>
  <c r="AA45" i="8" a="1"/>
  <c r="AA45" i="8" s="1"/>
  <c r="AA46" i="8" a="1"/>
  <c r="AA46" i="8" s="1"/>
  <c r="AA47" i="8" a="1"/>
  <c r="AA47" i="8" s="1"/>
  <c r="AA48" i="8" a="1"/>
  <c r="AA48" i="8" s="1"/>
  <c r="AA49" i="8" a="1"/>
  <c r="AA49" i="8" s="1"/>
  <c r="AA50" i="8" a="1"/>
  <c r="AA50" i="8" s="1"/>
  <c r="AA51" i="8" a="1"/>
  <c r="AA51" i="8" s="1"/>
  <c r="AA52" i="8" a="1"/>
  <c r="AA52" i="8" s="1"/>
  <c r="AA53" i="8" a="1"/>
  <c r="AA53" i="8" s="1"/>
  <c r="AA54" i="8" a="1"/>
  <c r="AA54" i="8" s="1"/>
  <c r="AA55" i="8" a="1"/>
  <c r="AA55" i="8" s="1"/>
  <c r="AA56" i="8" a="1"/>
  <c r="AA56" i="8" s="1"/>
  <c r="AA57" i="8" a="1"/>
  <c r="AA57" i="8" s="1"/>
  <c r="AA58" i="8" a="1"/>
  <c r="AA58" i="8" s="1"/>
  <c r="AA59" i="8" a="1"/>
  <c r="AA59" i="8" s="1"/>
  <c r="AA60" i="8" a="1"/>
  <c r="AA60" i="8" s="1"/>
  <c r="AA61" i="8" a="1"/>
  <c r="AA61" i="8" s="1"/>
  <c r="AA62" i="8" a="1"/>
  <c r="AA62" i="8" s="1"/>
  <c r="AA63" i="8" a="1"/>
  <c r="AA63" i="8" s="1"/>
  <c r="AA64" i="8" a="1"/>
  <c r="AA64" i="8" s="1"/>
  <c r="AA65" i="8" a="1"/>
  <c r="AA65" i="8" s="1"/>
  <c r="AA66" i="8" a="1"/>
  <c r="AA66" i="8" s="1"/>
  <c r="AA67" i="8" a="1"/>
  <c r="AA67" i="8" s="1"/>
  <c r="AA68" i="8" a="1"/>
  <c r="AA68" i="8" s="1"/>
  <c r="AA69" i="8" a="1"/>
  <c r="AA69" i="8" s="1"/>
  <c r="Z12" i="8" a="1"/>
  <c r="Z12" i="8" s="1"/>
  <c r="Z13" i="8" a="1"/>
  <c r="Z13" i="8" s="1"/>
  <c r="Z14" i="8" a="1"/>
  <c r="Z14" i="8" s="1"/>
  <c r="Z15" i="8" a="1"/>
  <c r="Z15" i="8" s="1"/>
  <c r="Z16" i="8" a="1"/>
  <c r="Z16" i="8" s="1"/>
  <c r="Z17" i="8" a="1"/>
  <c r="Z17" i="8" s="1"/>
  <c r="Z18" i="8" a="1"/>
  <c r="Z18" i="8" s="1"/>
  <c r="Z19" i="8" a="1"/>
  <c r="Z19" i="8" s="1"/>
  <c r="Z20" i="8" a="1"/>
  <c r="Z20" i="8" s="1"/>
  <c r="Z21" i="8" a="1"/>
  <c r="Z21" i="8" s="1"/>
  <c r="Z22" i="8" a="1"/>
  <c r="Z22" i="8" s="1"/>
  <c r="Z23" i="8" a="1"/>
  <c r="Z23" i="8" s="1"/>
  <c r="Z24" i="8" a="1"/>
  <c r="Z24" i="8" s="1"/>
  <c r="Z25" i="8" a="1"/>
  <c r="Z25" i="8" s="1"/>
  <c r="Z26" i="8" a="1"/>
  <c r="Z26" i="8" s="1"/>
  <c r="Z27" i="8" a="1"/>
  <c r="Z27" i="8" s="1"/>
  <c r="Z28" i="8" a="1"/>
  <c r="Z28" i="8" s="1"/>
  <c r="Z29" i="8" a="1"/>
  <c r="Z29" i="8" s="1"/>
  <c r="Z30" i="8" a="1"/>
  <c r="Z30" i="8" s="1"/>
  <c r="Z31" i="8" a="1"/>
  <c r="Z31" i="8" s="1"/>
  <c r="Z32" i="8" a="1"/>
  <c r="Z32" i="8" s="1"/>
  <c r="Z33" i="8" a="1"/>
  <c r="Z33" i="8" s="1"/>
  <c r="Z34" i="8" a="1"/>
  <c r="Z34" i="8" s="1"/>
  <c r="Z35" i="8" a="1"/>
  <c r="Z35" i="8" s="1"/>
  <c r="Z36" i="8" a="1"/>
  <c r="Z36" i="8" s="1"/>
  <c r="Z37" i="8" a="1"/>
  <c r="Z37" i="8" s="1"/>
  <c r="Z38" i="8" a="1"/>
  <c r="Z38" i="8" s="1"/>
  <c r="Z39" i="8" a="1"/>
  <c r="Z39" i="8" s="1"/>
  <c r="Z40" i="8" a="1"/>
  <c r="Z40" i="8" s="1"/>
  <c r="Z41" i="8" a="1"/>
  <c r="Z41" i="8" s="1"/>
  <c r="Z42" i="8" a="1"/>
  <c r="Z42" i="8" s="1"/>
  <c r="Z43" i="8" a="1"/>
  <c r="Z43" i="8" s="1"/>
  <c r="Z44" i="8" a="1"/>
  <c r="Z44" i="8" s="1"/>
  <c r="Z45" i="8" a="1"/>
  <c r="Z45" i="8" s="1"/>
  <c r="Z46" i="8" a="1"/>
  <c r="Z46" i="8" s="1"/>
  <c r="Z47" i="8" a="1"/>
  <c r="Z47" i="8" s="1"/>
  <c r="Z48" i="8" a="1"/>
  <c r="Z48" i="8" s="1"/>
  <c r="Z49" i="8" a="1"/>
  <c r="Z49" i="8" s="1"/>
  <c r="Z50" i="8" a="1"/>
  <c r="Z50" i="8" s="1"/>
  <c r="Z51" i="8" a="1"/>
  <c r="Z51" i="8" s="1"/>
  <c r="Z52" i="8" a="1"/>
  <c r="Z52" i="8" s="1"/>
  <c r="Z53" i="8" a="1"/>
  <c r="Z53" i="8" s="1"/>
  <c r="Z54" i="8" a="1"/>
  <c r="Z54" i="8" s="1"/>
  <c r="Z55" i="8" a="1"/>
  <c r="Z55" i="8" s="1"/>
  <c r="Z56" i="8" a="1"/>
  <c r="Z56" i="8" s="1"/>
  <c r="Z57" i="8" a="1"/>
  <c r="Z57" i="8" s="1"/>
  <c r="Z58" i="8" a="1"/>
  <c r="Z58" i="8" s="1"/>
  <c r="Z59" i="8" a="1"/>
  <c r="Z59" i="8" s="1"/>
  <c r="Z60" i="8" a="1"/>
  <c r="Z60" i="8" s="1"/>
  <c r="Z61" i="8" a="1"/>
  <c r="Z61" i="8" s="1"/>
  <c r="Z62" i="8" a="1"/>
  <c r="Z62" i="8" s="1"/>
  <c r="Z63" i="8" a="1"/>
  <c r="Z63" i="8" s="1"/>
  <c r="Z64" i="8" a="1"/>
  <c r="Z64" i="8" s="1"/>
  <c r="Z65" i="8" a="1"/>
  <c r="Z65" i="8" s="1"/>
  <c r="Z66" i="8" a="1"/>
  <c r="Z66" i="8" s="1"/>
  <c r="Z67" i="8" a="1"/>
  <c r="Z67" i="8" s="1"/>
  <c r="Z68" i="8" a="1"/>
  <c r="Z68" i="8" s="1"/>
  <c r="Z69" i="8" a="1"/>
  <c r="Z69" i="8" s="1"/>
  <c r="Y12" i="8" a="1"/>
  <c r="Y12" i="8" s="1"/>
  <c r="Y13" i="8" a="1"/>
  <c r="Y13" i="8" s="1"/>
  <c r="Y14" i="8" a="1"/>
  <c r="Y14" i="8" s="1"/>
  <c r="Y15" i="8" a="1"/>
  <c r="Y15" i="8" s="1"/>
  <c r="Y16" i="8" a="1"/>
  <c r="Y16" i="8" s="1"/>
  <c r="Y17" i="8" a="1"/>
  <c r="Y17" i="8" s="1"/>
  <c r="Y18" i="8" a="1"/>
  <c r="Y18" i="8" s="1"/>
  <c r="Y19" i="8" a="1"/>
  <c r="Y19" i="8" s="1"/>
  <c r="Y20" i="8" a="1"/>
  <c r="Y20" i="8" s="1"/>
  <c r="Y21" i="8" a="1"/>
  <c r="Y21" i="8" s="1"/>
  <c r="Y22" i="8" a="1"/>
  <c r="Y22" i="8" s="1"/>
  <c r="Y23" i="8" a="1"/>
  <c r="Y23" i="8" s="1"/>
  <c r="Y24" i="8" a="1"/>
  <c r="Y24" i="8" s="1"/>
  <c r="Y25" i="8" a="1"/>
  <c r="Y25" i="8" s="1"/>
  <c r="Y26" i="8" a="1"/>
  <c r="Y26" i="8" s="1"/>
  <c r="Y27" i="8" a="1"/>
  <c r="Y27" i="8" s="1"/>
  <c r="Y28" i="8" a="1"/>
  <c r="Y28" i="8" s="1"/>
  <c r="Y29" i="8" a="1"/>
  <c r="Y29" i="8" s="1"/>
  <c r="Y30" i="8" a="1"/>
  <c r="Y30" i="8" s="1"/>
  <c r="Y31" i="8" a="1"/>
  <c r="Y31" i="8" s="1"/>
  <c r="Y32" i="8" a="1"/>
  <c r="Y32" i="8" s="1"/>
  <c r="Y33" i="8" a="1"/>
  <c r="Y33" i="8" s="1"/>
  <c r="Y34" i="8" a="1"/>
  <c r="Y34" i="8" s="1"/>
  <c r="Y35" i="8" a="1"/>
  <c r="Y35" i="8" s="1"/>
  <c r="Y36" i="8" a="1"/>
  <c r="Y36" i="8" s="1"/>
  <c r="Y37" i="8" a="1"/>
  <c r="Y37" i="8" s="1"/>
  <c r="Y38" i="8" a="1"/>
  <c r="Y38" i="8" s="1"/>
  <c r="Y39" i="8" a="1"/>
  <c r="Y39" i="8" s="1"/>
  <c r="Y40" i="8" a="1"/>
  <c r="Y40" i="8" s="1"/>
  <c r="Y41" i="8" a="1"/>
  <c r="Y41" i="8" s="1"/>
  <c r="Y42" i="8" a="1"/>
  <c r="Y42" i="8" s="1"/>
  <c r="Y43" i="8" a="1"/>
  <c r="Y43" i="8" s="1"/>
  <c r="Y44" i="8" a="1"/>
  <c r="Y44" i="8" s="1"/>
  <c r="Y45" i="8" a="1"/>
  <c r="Y45" i="8" s="1"/>
  <c r="Y46" i="8" a="1"/>
  <c r="Y46" i="8" s="1"/>
  <c r="Y47" i="8" a="1"/>
  <c r="Y47" i="8" s="1"/>
  <c r="Y48" i="8" a="1"/>
  <c r="Y48" i="8" s="1"/>
  <c r="Y49" i="8" a="1"/>
  <c r="Y49" i="8" s="1"/>
  <c r="Y50" i="8" a="1"/>
  <c r="Y50" i="8" s="1"/>
  <c r="Y51" i="8" a="1"/>
  <c r="Y51" i="8" s="1"/>
  <c r="Y52" i="8" a="1"/>
  <c r="Y52" i="8" s="1"/>
  <c r="Y53" i="8" a="1"/>
  <c r="Y53" i="8" s="1"/>
  <c r="Y54" i="8" a="1"/>
  <c r="Y54" i="8" s="1"/>
  <c r="Y55" i="8" a="1"/>
  <c r="Y55" i="8" s="1"/>
  <c r="Y56" i="8" a="1"/>
  <c r="Y56" i="8" s="1"/>
  <c r="Y57" i="8" a="1"/>
  <c r="Y57" i="8" s="1"/>
  <c r="Y58" i="8" a="1"/>
  <c r="Y58" i="8" s="1"/>
  <c r="Y59" i="8" a="1"/>
  <c r="Y59" i="8" s="1"/>
  <c r="Y60" i="8" a="1"/>
  <c r="Y60" i="8" s="1"/>
  <c r="Y61" i="8" a="1"/>
  <c r="Y61" i="8" s="1"/>
  <c r="Y62" i="8" a="1"/>
  <c r="Y62" i="8" s="1"/>
  <c r="Y63" i="8" a="1"/>
  <c r="Y63" i="8" s="1"/>
  <c r="Y64" i="8" a="1"/>
  <c r="Y64" i="8" s="1"/>
  <c r="Y65" i="8" a="1"/>
  <c r="Y65" i="8" s="1"/>
  <c r="Y66" i="8" a="1"/>
  <c r="Y66" i="8" s="1"/>
  <c r="Y67" i="8" a="1"/>
  <c r="Y67" i="8" s="1"/>
  <c r="Y68" i="8" a="1"/>
  <c r="Y68" i="8" s="1"/>
  <c r="Y69" i="8" a="1"/>
  <c r="Y69" i="8" s="1"/>
  <c r="X12" i="8" a="1"/>
  <c r="X12" i="8" s="1"/>
  <c r="X13" i="8" a="1"/>
  <c r="X13" i="8" s="1"/>
  <c r="X14" i="8" a="1"/>
  <c r="X14" i="8" s="1"/>
  <c r="X15" i="8" a="1"/>
  <c r="X15" i="8" s="1"/>
  <c r="X16" i="8" a="1"/>
  <c r="X16" i="8" s="1"/>
  <c r="X17" i="8" a="1"/>
  <c r="X17" i="8" s="1"/>
  <c r="X18" i="8" a="1"/>
  <c r="X18" i="8" s="1"/>
  <c r="X19" i="8" a="1"/>
  <c r="X19" i="8" s="1"/>
  <c r="X20" i="8" a="1"/>
  <c r="X20" i="8" s="1"/>
  <c r="X21" i="8" a="1"/>
  <c r="X21" i="8" s="1"/>
  <c r="X22" i="8" a="1"/>
  <c r="X22" i="8" s="1"/>
  <c r="X23" i="8" a="1"/>
  <c r="X23" i="8" s="1"/>
  <c r="X24" i="8" a="1"/>
  <c r="X24" i="8" s="1"/>
  <c r="X25" i="8" a="1"/>
  <c r="X25" i="8" s="1"/>
  <c r="X26" i="8" a="1"/>
  <c r="X26" i="8" s="1"/>
  <c r="X27" i="8" a="1"/>
  <c r="X27" i="8" s="1"/>
  <c r="X28" i="8" a="1"/>
  <c r="X28" i="8" s="1"/>
  <c r="X29" i="8" a="1"/>
  <c r="X29" i="8" s="1"/>
  <c r="X30" i="8" a="1"/>
  <c r="X30" i="8" s="1"/>
  <c r="X31" i="8" a="1"/>
  <c r="X31" i="8" s="1"/>
  <c r="X32" i="8" a="1"/>
  <c r="X32" i="8" s="1"/>
  <c r="X33" i="8" a="1"/>
  <c r="X33" i="8" s="1"/>
  <c r="X34" i="8" a="1"/>
  <c r="X34" i="8" s="1"/>
  <c r="X35" i="8" a="1"/>
  <c r="X35" i="8" s="1"/>
  <c r="X36" i="8" a="1"/>
  <c r="X36" i="8" s="1"/>
  <c r="X37" i="8" a="1"/>
  <c r="X37" i="8" s="1"/>
  <c r="X38" i="8" a="1"/>
  <c r="X38" i="8" s="1"/>
  <c r="X39" i="8" a="1"/>
  <c r="X39" i="8" s="1"/>
  <c r="X40" i="8" a="1"/>
  <c r="X40" i="8" s="1"/>
  <c r="X41" i="8" a="1"/>
  <c r="X41" i="8" s="1"/>
  <c r="X42" i="8" a="1"/>
  <c r="X42" i="8" s="1"/>
  <c r="X43" i="8" a="1"/>
  <c r="X43" i="8" s="1"/>
  <c r="X44" i="8" a="1"/>
  <c r="X44" i="8" s="1"/>
  <c r="X45" i="8" a="1"/>
  <c r="X45" i="8" s="1"/>
  <c r="X46" i="8" a="1"/>
  <c r="X46" i="8" s="1"/>
  <c r="X47" i="8" a="1"/>
  <c r="X47" i="8" s="1"/>
  <c r="X48" i="8" a="1"/>
  <c r="X48" i="8" s="1"/>
  <c r="X49" i="8" a="1"/>
  <c r="X49" i="8" s="1"/>
  <c r="X50" i="8" a="1"/>
  <c r="X50" i="8" s="1"/>
  <c r="X51" i="8" a="1"/>
  <c r="X51" i="8" s="1"/>
  <c r="X52" i="8" a="1"/>
  <c r="X52" i="8" s="1"/>
  <c r="X53" i="8" a="1"/>
  <c r="X53" i="8" s="1"/>
  <c r="X54" i="8" a="1"/>
  <c r="X54" i="8" s="1"/>
  <c r="X55" i="8" a="1"/>
  <c r="X55" i="8" s="1"/>
  <c r="X56" i="8" a="1"/>
  <c r="X56" i="8" s="1"/>
  <c r="X57" i="8" a="1"/>
  <c r="X57" i="8" s="1"/>
  <c r="X58" i="8" a="1"/>
  <c r="X58" i="8" s="1"/>
  <c r="X59" i="8" a="1"/>
  <c r="X59" i="8" s="1"/>
  <c r="X60" i="8" a="1"/>
  <c r="X60" i="8" s="1"/>
  <c r="X61" i="8" a="1"/>
  <c r="X61" i="8" s="1"/>
  <c r="X62" i="8" a="1"/>
  <c r="X62" i="8" s="1"/>
  <c r="X63" i="8" a="1"/>
  <c r="X63" i="8" s="1"/>
  <c r="X64" i="8" a="1"/>
  <c r="X64" i="8" s="1"/>
  <c r="X65" i="8" a="1"/>
  <c r="X65" i="8" s="1"/>
  <c r="X66" i="8" a="1"/>
  <c r="X66" i="8" s="1"/>
  <c r="X67" i="8" a="1"/>
  <c r="X67" i="8" s="1"/>
  <c r="X68" i="8" a="1"/>
  <c r="X68" i="8" s="1"/>
  <c r="X69" i="8" a="1"/>
  <c r="X69" i="8" s="1"/>
  <c r="W12" i="8" a="1"/>
  <c r="W12" i="8" s="1"/>
  <c r="W13" i="8" a="1"/>
  <c r="W13" i="8" s="1"/>
  <c r="W14" i="8" a="1"/>
  <c r="W14" i="8" s="1"/>
  <c r="W15" i="8" a="1"/>
  <c r="W15" i="8" s="1"/>
  <c r="W16" i="8" a="1"/>
  <c r="W16" i="8" s="1"/>
  <c r="W17" i="8" a="1"/>
  <c r="W17" i="8" s="1"/>
  <c r="W18" i="8" a="1"/>
  <c r="W18" i="8" s="1"/>
  <c r="W19" i="8" a="1"/>
  <c r="W19" i="8" s="1"/>
  <c r="W20" i="8" a="1"/>
  <c r="W20" i="8" s="1"/>
  <c r="W21" i="8" a="1"/>
  <c r="W21" i="8" s="1"/>
  <c r="W22" i="8" a="1"/>
  <c r="W22" i="8" s="1"/>
  <c r="W23" i="8" a="1"/>
  <c r="W23" i="8" s="1"/>
  <c r="W24" i="8" a="1"/>
  <c r="W24" i="8" s="1"/>
  <c r="W25" i="8" a="1"/>
  <c r="W25" i="8" s="1"/>
  <c r="W26" i="8" a="1"/>
  <c r="W26" i="8" s="1"/>
  <c r="W27" i="8" a="1"/>
  <c r="W27" i="8" s="1"/>
  <c r="W28" i="8" a="1"/>
  <c r="W28" i="8" s="1"/>
  <c r="W29" i="8" a="1"/>
  <c r="W29" i="8" s="1"/>
  <c r="W30" i="8" a="1"/>
  <c r="W30" i="8" s="1"/>
  <c r="W31" i="8" a="1"/>
  <c r="W31" i="8" s="1"/>
  <c r="W32" i="8" a="1"/>
  <c r="W32" i="8" s="1"/>
  <c r="W33" i="8" a="1"/>
  <c r="W33" i="8" s="1"/>
  <c r="W34" i="8" a="1"/>
  <c r="W34" i="8" s="1"/>
  <c r="W35" i="8" a="1"/>
  <c r="W35" i="8" s="1"/>
  <c r="W36" i="8" a="1"/>
  <c r="W36" i="8" s="1"/>
  <c r="W37" i="8" a="1"/>
  <c r="W37" i="8" s="1"/>
  <c r="W38" i="8" a="1"/>
  <c r="W38" i="8" s="1"/>
  <c r="W39" i="8" a="1"/>
  <c r="W39" i="8" s="1"/>
  <c r="W40" i="8" a="1"/>
  <c r="W40" i="8" s="1"/>
  <c r="W41" i="8" a="1"/>
  <c r="W41" i="8" s="1"/>
  <c r="W42" i="8" a="1"/>
  <c r="W42" i="8" s="1"/>
  <c r="W43" i="8" a="1"/>
  <c r="W43" i="8" s="1"/>
  <c r="W44" i="8" a="1"/>
  <c r="W44" i="8" s="1"/>
  <c r="W45" i="8" a="1"/>
  <c r="W45" i="8" s="1"/>
  <c r="W46" i="8" a="1"/>
  <c r="W46" i="8" s="1"/>
  <c r="W47" i="8" a="1"/>
  <c r="W47" i="8" s="1"/>
  <c r="W48" i="8" a="1"/>
  <c r="W48" i="8" s="1"/>
  <c r="W49" i="8" a="1"/>
  <c r="W49" i="8" s="1"/>
  <c r="W50" i="8" a="1"/>
  <c r="W50" i="8" s="1"/>
  <c r="W51" i="8" a="1"/>
  <c r="W51" i="8" s="1"/>
  <c r="W52" i="8" a="1"/>
  <c r="W52" i="8" s="1"/>
  <c r="W53" i="8" a="1"/>
  <c r="W53" i="8" s="1"/>
  <c r="W54" i="8" a="1"/>
  <c r="W54" i="8" s="1"/>
  <c r="W55" i="8" a="1"/>
  <c r="W55" i="8" s="1"/>
  <c r="W56" i="8" a="1"/>
  <c r="W56" i="8" s="1"/>
  <c r="W57" i="8" a="1"/>
  <c r="W57" i="8" s="1"/>
  <c r="W58" i="8" a="1"/>
  <c r="W58" i="8" s="1"/>
  <c r="W59" i="8" a="1"/>
  <c r="W59" i="8" s="1"/>
  <c r="W60" i="8" a="1"/>
  <c r="W60" i="8" s="1"/>
  <c r="W61" i="8" a="1"/>
  <c r="W61" i="8" s="1"/>
  <c r="W62" i="8" a="1"/>
  <c r="W62" i="8" s="1"/>
  <c r="W63" i="8" a="1"/>
  <c r="W63" i="8" s="1"/>
  <c r="W64" i="8" a="1"/>
  <c r="W64" i="8" s="1"/>
  <c r="W65" i="8" a="1"/>
  <c r="W65" i="8" s="1"/>
  <c r="W66" i="8" a="1"/>
  <c r="W66" i="8" s="1"/>
  <c r="W67" i="8" a="1"/>
  <c r="W67" i="8" s="1"/>
  <c r="W68" i="8" a="1"/>
  <c r="W68" i="8" s="1"/>
  <c r="W69" i="8" a="1"/>
  <c r="W69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22" i="8" a="1"/>
  <c r="R22" i="8" s="1"/>
  <c r="R23" i="8" a="1"/>
  <c r="R23" i="8" s="1"/>
  <c r="R24" i="8" a="1"/>
  <c r="R24" i="8" s="1"/>
  <c r="R25" i="8" a="1"/>
  <c r="R25" i="8" s="1"/>
  <c r="R26" i="8" a="1"/>
  <c r="R26" i="8" s="1"/>
  <c r="R27" i="8" a="1"/>
  <c r="R27" i="8" s="1"/>
  <c r="R28" i="8" a="1"/>
  <c r="R28" i="8" s="1"/>
  <c r="R29" i="8" a="1"/>
  <c r="R29" i="8" s="1"/>
  <c r="R30" i="8" a="1"/>
  <c r="R30" i="8" s="1"/>
  <c r="R31" i="8" a="1"/>
  <c r="R31" i="8" s="1"/>
  <c r="R32" i="8" a="1"/>
  <c r="R32" i="8" s="1"/>
  <c r="R33" i="8" a="1"/>
  <c r="R33" i="8" s="1"/>
  <c r="R34" i="8" a="1"/>
  <c r="R34" i="8" s="1"/>
  <c r="R35" i="8" a="1"/>
  <c r="R35" i="8" s="1"/>
  <c r="R36" i="8" a="1"/>
  <c r="R36" i="8" s="1"/>
  <c r="R37" i="8" a="1"/>
  <c r="R37" i="8" s="1"/>
  <c r="R38" i="8" a="1"/>
  <c r="R38" i="8" s="1"/>
  <c r="R39" i="8" a="1"/>
  <c r="R39" i="8" s="1"/>
  <c r="R40" i="8" a="1"/>
  <c r="R40" i="8" s="1"/>
  <c r="R41" i="8" a="1"/>
  <c r="R41" i="8" s="1"/>
  <c r="R42" i="8" a="1"/>
  <c r="R42" i="8" s="1"/>
  <c r="R43" i="8" a="1"/>
  <c r="R43" i="8" s="1"/>
  <c r="R44" i="8" a="1"/>
  <c r="R44" i="8" s="1"/>
  <c r="R45" i="8" a="1"/>
  <c r="R45" i="8" s="1"/>
  <c r="R46" i="8" a="1"/>
  <c r="R46" i="8" s="1"/>
  <c r="R47" i="8" a="1"/>
  <c r="R47" i="8" s="1"/>
  <c r="R48" i="8" a="1"/>
  <c r="R48" i="8" s="1"/>
  <c r="R49" i="8" a="1"/>
  <c r="R49" i="8" s="1"/>
  <c r="R50" i="8" a="1"/>
  <c r="R50" i="8" s="1"/>
  <c r="R51" i="8" a="1"/>
  <c r="R51" i="8" s="1"/>
  <c r="R52" i="8" a="1"/>
  <c r="R52" i="8" s="1"/>
  <c r="R53" i="8" a="1"/>
  <c r="R53" i="8" s="1"/>
  <c r="R54" i="8" a="1"/>
  <c r="R54" i="8" s="1"/>
  <c r="R55" i="8" a="1"/>
  <c r="R55" i="8" s="1"/>
  <c r="R56" i="8" a="1"/>
  <c r="R56" i="8" s="1"/>
  <c r="R57" i="8" a="1"/>
  <c r="R57" i="8" s="1"/>
  <c r="R58" i="8" a="1"/>
  <c r="R58" i="8" s="1"/>
  <c r="R59" i="8" a="1"/>
  <c r="R59" i="8" s="1"/>
  <c r="R60" i="8" a="1"/>
  <c r="R60" i="8" s="1"/>
  <c r="R61" i="8" a="1"/>
  <c r="R61" i="8" s="1"/>
  <c r="R62" i="8" a="1"/>
  <c r="R62" i="8" s="1"/>
  <c r="R63" i="8" a="1"/>
  <c r="R63" i="8" s="1"/>
  <c r="R64" i="8" a="1"/>
  <c r="R64" i="8" s="1"/>
  <c r="R65" i="8" a="1"/>
  <c r="R65" i="8" s="1"/>
  <c r="R66" i="8" a="1"/>
  <c r="R66" i="8" s="1"/>
  <c r="R67" i="8" a="1"/>
  <c r="R67" i="8" s="1"/>
  <c r="R68" i="8" a="1"/>
  <c r="R68" i="8" s="1"/>
  <c r="R69" i="8" a="1"/>
  <c r="R69" i="8" s="1"/>
  <c r="Q12" i="8" a="1"/>
  <c r="Q12" i="8" s="1"/>
  <c r="Q13" i="8" a="1"/>
  <c r="Q13" i="8" s="1"/>
  <c r="Q14" i="8" a="1"/>
  <c r="Q14" i="8" s="1"/>
  <c r="Q15" i="8" a="1"/>
  <c r="Q15" i="8" s="1"/>
  <c r="Q16" i="8" a="1"/>
  <c r="Q16" i="8" s="1"/>
  <c r="Q17" i="8" a="1"/>
  <c r="Q17" i="8" s="1"/>
  <c r="Q18" i="8" a="1"/>
  <c r="Q18" i="8" s="1"/>
  <c r="Q19" i="8" a="1"/>
  <c r="Q19" i="8" s="1"/>
  <c r="Q20" i="8" a="1"/>
  <c r="Q20" i="8" s="1"/>
  <c r="Q21" i="8" a="1"/>
  <c r="Q21" i="8" s="1"/>
  <c r="Q22" i="8" a="1"/>
  <c r="Q22" i="8" s="1"/>
  <c r="Q23" i="8" a="1"/>
  <c r="Q23" i="8" s="1"/>
  <c r="Q24" i="8" a="1"/>
  <c r="Q24" i="8" s="1"/>
  <c r="Q25" i="8" a="1"/>
  <c r="Q25" i="8" s="1"/>
  <c r="Q26" i="8" a="1"/>
  <c r="Q26" i="8" s="1"/>
  <c r="Q27" i="8" a="1"/>
  <c r="Q27" i="8" s="1"/>
  <c r="Q28" i="8" a="1"/>
  <c r="Q28" i="8" s="1"/>
  <c r="Q29" i="8" a="1"/>
  <c r="Q29" i="8" s="1"/>
  <c r="Q30" i="8" a="1"/>
  <c r="Q30" i="8" s="1"/>
  <c r="Q31" i="8" a="1"/>
  <c r="Q31" i="8" s="1"/>
  <c r="Q32" i="8" a="1"/>
  <c r="Q32" i="8" s="1"/>
  <c r="Q33" i="8" a="1"/>
  <c r="Q33" i="8" s="1"/>
  <c r="Q34" i="8" a="1"/>
  <c r="Q34" i="8" s="1"/>
  <c r="Q35" i="8" a="1"/>
  <c r="Q35" i="8" s="1"/>
  <c r="Q36" i="8" a="1"/>
  <c r="Q36" i="8" s="1"/>
  <c r="Q37" i="8" a="1"/>
  <c r="Q37" i="8" s="1"/>
  <c r="Q38" i="8" a="1"/>
  <c r="Q38" i="8" s="1"/>
  <c r="Q39" i="8" a="1"/>
  <c r="Q39" i="8" s="1"/>
  <c r="Q40" i="8" a="1"/>
  <c r="Q40" i="8" s="1"/>
  <c r="Q41" i="8" a="1"/>
  <c r="Q41" i="8" s="1"/>
  <c r="Q42" i="8" a="1"/>
  <c r="Q42" i="8" s="1"/>
  <c r="Q43" i="8" a="1"/>
  <c r="Q43" i="8" s="1"/>
  <c r="Q44" i="8" a="1"/>
  <c r="Q44" i="8" s="1"/>
  <c r="Q45" i="8" a="1"/>
  <c r="Q45" i="8" s="1"/>
  <c r="Q46" i="8" a="1"/>
  <c r="Q46" i="8" s="1"/>
  <c r="Q47" i="8" a="1"/>
  <c r="Q47" i="8" s="1"/>
  <c r="Q48" i="8" a="1"/>
  <c r="Q48" i="8" s="1"/>
  <c r="Q49" i="8" a="1"/>
  <c r="Q49" i="8" s="1"/>
  <c r="Q50" i="8" a="1"/>
  <c r="Q50" i="8" s="1"/>
  <c r="Q51" i="8" a="1"/>
  <c r="Q51" i="8" s="1"/>
  <c r="Q52" i="8" a="1"/>
  <c r="Q52" i="8" s="1"/>
  <c r="Q53" i="8" a="1"/>
  <c r="Q53" i="8" s="1"/>
  <c r="Q54" i="8" a="1"/>
  <c r="Q54" i="8" s="1"/>
  <c r="Q55" i="8" a="1"/>
  <c r="Q55" i="8" s="1"/>
  <c r="Q56" i="8" a="1"/>
  <c r="Q56" i="8" s="1"/>
  <c r="Q57" i="8" a="1"/>
  <c r="Q57" i="8" s="1"/>
  <c r="Q58" i="8" a="1"/>
  <c r="Q58" i="8" s="1"/>
  <c r="Q59" i="8" a="1"/>
  <c r="Q59" i="8" s="1"/>
  <c r="Q60" i="8" a="1"/>
  <c r="Q60" i="8" s="1"/>
  <c r="Q61" i="8" a="1"/>
  <c r="Q61" i="8" s="1"/>
  <c r="Q62" i="8" a="1"/>
  <c r="Q62" i="8" s="1"/>
  <c r="Q63" i="8" a="1"/>
  <c r="Q63" i="8" s="1"/>
  <c r="Q64" i="8" a="1"/>
  <c r="Q64" i="8" s="1"/>
  <c r="Q65" i="8" a="1"/>
  <c r="Q65" i="8" s="1"/>
  <c r="Q66" i="8" a="1"/>
  <c r="Q66" i="8" s="1"/>
  <c r="Q67" i="8" a="1"/>
  <c r="Q67" i="8" s="1"/>
  <c r="Q68" i="8" a="1"/>
  <c r="Q68" i="8" s="1"/>
  <c r="Q69" i="8" a="1"/>
  <c r="Q69" i="8" s="1"/>
  <c r="P12" i="8" a="1"/>
  <c r="P12" i="8" s="1"/>
  <c r="P13" i="8" a="1"/>
  <c r="P13" i="8" s="1"/>
  <c r="P14" i="8" a="1"/>
  <c r="P14" i="8" s="1"/>
  <c r="P15" i="8" a="1"/>
  <c r="P15" i="8" s="1"/>
  <c r="P16" i="8" a="1"/>
  <c r="P16" i="8" s="1"/>
  <c r="P17" i="8" a="1"/>
  <c r="P17" i="8" s="1"/>
  <c r="P18" i="8" a="1"/>
  <c r="P18" i="8" s="1"/>
  <c r="P19" i="8" a="1"/>
  <c r="P19" i="8" s="1"/>
  <c r="P20" i="8" a="1"/>
  <c r="P20" i="8" s="1"/>
  <c r="P21" i="8" a="1"/>
  <c r="P21" i="8" s="1"/>
  <c r="P22" i="8" a="1"/>
  <c r="P22" i="8" s="1"/>
  <c r="P23" i="8" a="1"/>
  <c r="P23" i="8" s="1"/>
  <c r="P24" i="8" a="1"/>
  <c r="P24" i="8" s="1"/>
  <c r="P25" i="8" a="1"/>
  <c r="P25" i="8" s="1"/>
  <c r="P26" i="8" a="1"/>
  <c r="P26" i="8" s="1"/>
  <c r="P27" i="8" a="1"/>
  <c r="P27" i="8" s="1"/>
  <c r="P28" i="8" a="1"/>
  <c r="P28" i="8" s="1"/>
  <c r="P29" i="8" a="1"/>
  <c r="P29" i="8" s="1"/>
  <c r="P30" i="8" a="1"/>
  <c r="P30" i="8" s="1"/>
  <c r="P31" i="8" a="1"/>
  <c r="P31" i="8" s="1"/>
  <c r="P32" i="8" a="1"/>
  <c r="P32" i="8" s="1"/>
  <c r="P33" i="8" a="1"/>
  <c r="P33" i="8" s="1"/>
  <c r="P34" i="8" a="1"/>
  <c r="P34" i="8" s="1"/>
  <c r="P35" i="8" a="1"/>
  <c r="P35" i="8" s="1"/>
  <c r="P36" i="8" a="1"/>
  <c r="P36" i="8" s="1"/>
  <c r="P37" i="8" a="1"/>
  <c r="P37" i="8" s="1"/>
  <c r="P38" i="8" a="1"/>
  <c r="P38" i="8" s="1"/>
  <c r="P39" i="8" a="1"/>
  <c r="P39" i="8" s="1"/>
  <c r="P40" i="8" a="1"/>
  <c r="P40" i="8" s="1"/>
  <c r="P41" i="8" a="1"/>
  <c r="P41" i="8" s="1"/>
  <c r="P42" i="8" a="1"/>
  <c r="P42" i="8" s="1"/>
  <c r="P43" i="8" a="1"/>
  <c r="P43" i="8" s="1"/>
  <c r="P44" i="8" a="1"/>
  <c r="P44" i="8" s="1"/>
  <c r="P45" i="8" a="1"/>
  <c r="P45" i="8" s="1"/>
  <c r="P46" i="8" a="1"/>
  <c r="P46" i="8" s="1"/>
  <c r="P47" i="8" a="1"/>
  <c r="P47" i="8" s="1"/>
  <c r="P48" i="8" a="1"/>
  <c r="P48" i="8" s="1"/>
  <c r="P49" i="8" a="1"/>
  <c r="P49" i="8" s="1"/>
  <c r="P50" i="8" a="1"/>
  <c r="P50" i="8" s="1"/>
  <c r="P51" i="8" a="1"/>
  <c r="P51" i="8" s="1"/>
  <c r="P52" i="8" a="1"/>
  <c r="P52" i="8" s="1"/>
  <c r="P53" i="8" a="1"/>
  <c r="P53" i="8" s="1"/>
  <c r="P54" i="8" a="1"/>
  <c r="P54" i="8" s="1"/>
  <c r="P55" i="8" a="1"/>
  <c r="P55" i="8" s="1"/>
  <c r="P56" i="8" a="1"/>
  <c r="P56" i="8" s="1"/>
  <c r="P57" i="8" a="1"/>
  <c r="P57" i="8" s="1"/>
  <c r="P58" i="8" a="1"/>
  <c r="P58" i="8" s="1"/>
  <c r="P59" i="8" a="1"/>
  <c r="P59" i="8" s="1"/>
  <c r="P60" i="8" a="1"/>
  <c r="P60" i="8" s="1"/>
  <c r="P61" i="8" a="1"/>
  <c r="P61" i="8" s="1"/>
  <c r="P62" i="8" a="1"/>
  <c r="P62" i="8" s="1"/>
  <c r="P63" i="8" a="1"/>
  <c r="P63" i="8" s="1"/>
  <c r="P64" i="8" a="1"/>
  <c r="P64" i="8" s="1"/>
  <c r="P65" i="8" a="1"/>
  <c r="P65" i="8" s="1"/>
  <c r="P66" i="8" a="1"/>
  <c r="P66" i="8" s="1"/>
  <c r="P67" i="8" a="1"/>
  <c r="P67" i="8" s="1"/>
  <c r="P68" i="8" a="1"/>
  <c r="P68" i="8" s="1"/>
  <c r="P69" i="8" a="1"/>
  <c r="P69" i="8" s="1"/>
  <c r="O12" i="8" a="1"/>
  <c r="O12" i="8" s="1"/>
  <c r="O13" i="8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 s="1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O28" i="8" a="1"/>
  <c r="O28" i="8" s="1"/>
  <c r="O29" i="8" a="1"/>
  <c r="O29" i="8" s="1"/>
  <c r="O30" i="8" a="1"/>
  <c r="O30" i="8" s="1"/>
  <c r="O31" i="8" a="1"/>
  <c r="O31" i="8" s="1"/>
  <c r="O32" i="8" a="1"/>
  <c r="O32" i="8" s="1"/>
  <c r="O33" i="8" a="1"/>
  <c r="O33" i="8" s="1"/>
  <c r="O34" i="8" a="1"/>
  <c r="O34" i="8" s="1"/>
  <c r="O35" i="8" a="1"/>
  <c r="O35" i="8" s="1"/>
  <c r="O36" i="8" a="1"/>
  <c r="O36" i="8" s="1"/>
  <c r="O37" i="8" a="1"/>
  <c r="O37" i="8" s="1"/>
  <c r="O38" i="8" a="1"/>
  <c r="O38" i="8" s="1"/>
  <c r="O39" i="8" a="1"/>
  <c r="O39" i="8" s="1"/>
  <c r="O40" i="8" a="1"/>
  <c r="O40" i="8" s="1"/>
  <c r="O41" i="8" a="1"/>
  <c r="O41" i="8" s="1"/>
  <c r="O42" i="8" a="1"/>
  <c r="O42" i="8" s="1"/>
  <c r="O43" i="8" a="1"/>
  <c r="O43" i="8" s="1"/>
  <c r="O44" i="8" a="1"/>
  <c r="O44" i="8" s="1"/>
  <c r="O45" i="8" a="1"/>
  <c r="O45" i="8" s="1"/>
  <c r="O46" i="8" a="1"/>
  <c r="O46" i="8" s="1"/>
  <c r="O47" i="8" a="1"/>
  <c r="O47" i="8" s="1"/>
  <c r="O48" i="8" a="1"/>
  <c r="O48" i="8" s="1"/>
  <c r="O49" i="8" a="1"/>
  <c r="O49" i="8" s="1"/>
  <c r="O50" i="8" a="1"/>
  <c r="O50" i="8" s="1"/>
  <c r="O51" i="8" a="1"/>
  <c r="O51" i="8" s="1"/>
  <c r="O52" i="8" a="1"/>
  <c r="O52" i="8" s="1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O64" i="8" a="1"/>
  <c r="O64" i="8" s="1"/>
  <c r="O65" i="8" a="1"/>
  <c r="O65" i="8" s="1"/>
  <c r="O66" i="8" a="1"/>
  <c r="O66" i="8" s="1"/>
  <c r="O67" i="8" a="1"/>
  <c r="O67" i="8" s="1"/>
  <c r="O68" i="8" a="1"/>
  <c r="O68" i="8" s="1"/>
  <c r="O69" i="8" a="1"/>
  <c r="O69" i="8" s="1"/>
  <c r="N12" i="8" a="1"/>
  <c r="N12" i="8" s="1"/>
  <c r="N13" i="8" a="1"/>
  <c r="N13" i="8" s="1"/>
  <c r="N14" i="8" a="1"/>
  <c r="N14" i="8" s="1"/>
  <c r="N15" i="8" a="1"/>
  <c r="N15" i="8" s="1"/>
  <c r="N16" i="8" a="1"/>
  <c r="N16" i="8" s="1"/>
  <c r="N17" i="8" a="1"/>
  <c r="N17" i="8" s="1"/>
  <c r="N18" i="8" a="1"/>
  <c r="N18" i="8" s="1"/>
  <c r="N19" i="8" a="1"/>
  <c r="N19" i="8" s="1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6" i="8" a="1"/>
  <c r="N26" i="8" s="1"/>
  <c r="N27" i="8" a="1"/>
  <c r="N27" i="8" s="1"/>
  <c r="N28" i="8" a="1"/>
  <c r="N28" i="8" s="1"/>
  <c r="N29" i="8" a="1"/>
  <c r="N29" i="8" s="1"/>
  <c r="N30" i="8" a="1"/>
  <c r="N30" i="8" s="1"/>
  <c r="N31" i="8" a="1"/>
  <c r="N31" i="8" s="1"/>
  <c r="N32" i="8" a="1"/>
  <c r="N32" i="8" s="1"/>
  <c r="N33" i="8" a="1"/>
  <c r="N33" i="8" s="1"/>
  <c r="N34" i="8" a="1"/>
  <c r="N34" i="8" s="1"/>
  <c r="N35" i="8" a="1"/>
  <c r="N35" i="8" s="1"/>
  <c r="N36" i="8" a="1"/>
  <c r="N36" i="8" s="1"/>
  <c r="N37" i="8" a="1"/>
  <c r="N37" i="8" s="1"/>
  <c r="N38" i="8" a="1"/>
  <c r="N38" i="8" s="1"/>
  <c r="N39" i="8" a="1"/>
  <c r="N39" i="8" s="1"/>
  <c r="N40" i="8" a="1"/>
  <c r="N40" i="8" s="1"/>
  <c r="N41" i="8" a="1"/>
  <c r="N41" i="8" s="1"/>
  <c r="N42" i="8" a="1"/>
  <c r="N42" i="8" s="1"/>
  <c r="N43" i="8" a="1"/>
  <c r="N43" i="8" s="1"/>
  <c r="N44" i="8" a="1"/>
  <c r="N44" i="8" s="1"/>
  <c r="N45" i="8" a="1"/>
  <c r="N45" i="8" s="1"/>
  <c r="N46" i="8" a="1"/>
  <c r="N46" i="8" s="1"/>
  <c r="N47" i="8" a="1"/>
  <c r="N47" i="8" s="1"/>
  <c r="N48" i="8" a="1"/>
  <c r="N48" i="8" s="1"/>
  <c r="N49" i="8" a="1"/>
  <c r="N49" i="8" s="1"/>
  <c r="N50" i="8" a="1"/>
  <c r="N50" i="8" s="1"/>
  <c r="N51" i="8" a="1"/>
  <c r="N51" i="8" s="1"/>
  <c r="N52" i="8" a="1"/>
  <c r="N52" i="8" s="1"/>
  <c r="N53" i="8" a="1"/>
  <c r="N53" i="8" s="1"/>
  <c r="N54" i="8" a="1"/>
  <c r="N54" i="8" s="1"/>
  <c r="N55" i="8" a="1"/>
  <c r="N55" i="8" s="1"/>
  <c r="N56" i="8" a="1"/>
  <c r="N56" i="8" s="1"/>
  <c r="N57" i="8" a="1"/>
  <c r="N57" i="8" s="1"/>
  <c r="N58" i="8" a="1"/>
  <c r="N58" i="8" s="1"/>
  <c r="N59" i="8" a="1"/>
  <c r="N59" i="8" s="1"/>
  <c r="N60" i="8" a="1"/>
  <c r="N60" i="8" s="1"/>
  <c r="N61" i="8" a="1"/>
  <c r="N61" i="8" s="1"/>
  <c r="N62" i="8" a="1"/>
  <c r="N62" i="8" s="1"/>
  <c r="N63" i="8" a="1"/>
  <c r="N63" i="8" s="1"/>
  <c r="N64" i="8" a="1"/>
  <c r="N64" i="8" s="1"/>
  <c r="N65" i="8" a="1"/>
  <c r="N65" i="8" s="1"/>
  <c r="N66" i="8" a="1"/>
  <c r="N66" i="8" s="1"/>
  <c r="N67" i="8" a="1"/>
  <c r="N67" i="8" s="1"/>
  <c r="N68" i="8" a="1"/>
  <c r="N68" i="8" s="1"/>
  <c r="N69" i="8" a="1"/>
  <c r="N69" i="8" s="1"/>
  <c r="M12" i="8" a="1"/>
  <c r="M12" i="8" s="1"/>
  <c r="M13" i="8" a="1"/>
  <c r="M13" i="8" s="1"/>
  <c r="M14" i="8" a="1"/>
  <c r="M14" i="8" s="1"/>
  <c r="M15" i="8" a="1"/>
  <c r="M15" i="8" s="1"/>
  <c r="M16" i="8" a="1"/>
  <c r="M16" i="8" s="1"/>
  <c r="M17" i="8" a="1"/>
  <c r="M17" i="8" s="1"/>
  <c r="M18" i="8" a="1"/>
  <c r="M18" i="8" s="1"/>
  <c r="M19" i="8" a="1"/>
  <c r="M19" i="8" s="1"/>
  <c r="M20" i="8" a="1"/>
  <c r="M20" i="8" s="1"/>
  <c r="M21" i="8" a="1"/>
  <c r="M21" i="8" s="1"/>
  <c r="M22" i="8" a="1"/>
  <c r="M22" i="8" s="1"/>
  <c r="M23" i="8" a="1"/>
  <c r="M23" i="8" s="1"/>
  <c r="M24" i="8" a="1"/>
  <c r="M24" i="8" s="1"/>
  <c r="M25" i="8" a="1"/>
  <c r="M25" i="8" s="1"/>
  <c r="M26" i="8" a="1"/>
  <c r="M26" i="8" s="1"/>
  <c r="M27" i="8" a="1"/>
  <c r="M27" i="8" s="1"/>
  <c r="M28" i="8" a="1"/>
  <c r="M28" i="8" s="1"/>
  <c r="M29" i="8" a="1"/>
  <c r="M29" i="8" s="1"/>
  <c r="M30" i="8" a="1"/>
  <c r="M30" i="8" s="1"/>
  <c r="M31" i="8" a="1"/>
  <c r="M31" i="8" s="1"/>
  <c r="M32" i="8" a="1"/>
  <c r="M32" i="8" s="1"/>
  <c r="M33" i="8" a="1"/>
  <c r="M33" i="8" s="1"/>
  <c r="M34" i="8" a="1"/>
  <c r="M34" i="8" s="1"/>
  <c r="M35" i="8" a="1"/>
  <c r="M35" i="8" s="1"/>
  <c r="M36" i="8" a="1"/>
  <c r="M36" i="8" s="1"/>
  <c r="M37" i="8" a="1"/>
  <c r="M37" i="8" s="1"/>
  <c r="M38" i="8" a="1"/>
  <c r="M38" i="8" s="1"/>
  <c r="M39" i="8" a="1"/>
  <c r="M39" i="8" s="1"/>
  <c r="M40" i="8" a="1"/>
  <c r="M40" i="8" s="1"/>
  <c r="M41" i="8" a="1"/>
  <c r="M41" i="8" s="1"/>
  <c r="M42" i="8" a="1"/>
  <c r="M42" i="8" s="1"/>
  <c r="M43" i="8" a="1"/>
  <c r="M43" i="8" s="1"/>
  <c r="M44" i="8" a="1"/>
  <c r="M44" i="8" s="1"/>
  <c r="M45" i="8" a="1"/>
  <c r="M45" i="8" s="1"/>
  <c r="M46" i="8" a="1"/>
  <c r="M46" i="8" s="1"/>
  <c r="M47" i="8" a="1"/>
  <c r="M47" i="8" s="1"/>
  <c r="M48" i="8" a="1"/>
  <c r="M48" i="8" s="1"/>
  <c r="M49" i="8" a="1"/>
  <c r="M49" i="8" s="1"/>
  <c r="M50" i="8" a="1"/>
  <c r="M50" i="8" s="1"/>
  <c r="M51" i="8" a="1"/>
  <c r="M51" i="8" s="1"/>
  <c r="M52" i="8" a="1"/>
  <c r="M52" i="8" s="1"/>
  <c r="M53" i="8" a="1"/>
  <c r="M53" i="8" s="1"/>
  <c r="M54" i="8" a="1"/>
  <c r="M54" i="8" s="1"/>
  <c r="M55" i="8" a="1"/>
  <c r="M55" i="8" s="1"/>
  <c r="M56" i="8" a="1"/>
  <c r="M56" i="8" s="1"/>
  <c r="M57" i="8" a="1"/>
  <c r="M57" i="8" s="1"/>
  <c r="M58" i="8" a="1"/>
  <c r="M58" i="8" s="1"/>
  <c r="M59" i="8" a="1"/>
  <c r="M59" i="8" s="1"/>
  <c r="M60" i="8" a="1"/>
  <c r="M60" i="8" s="1"/>
  <c r="M61" i="8" a="1"/>
  <c r="M61" i="8" s="1"/>
  <c r="M62" i="8" a="1"/>
  <c r="M62" i="8" s="1"/>
  <c r="M63" i="8" a="1"/>
  <c r="M63" i="8" s="1"/>
  <c r="M64" i="8" a="1"/>
  <c r="M64" i="8" s="1"/>
  <c r="M65" i="8" a="1"/>
  <c r="M65" i="8" s="1"/>
  <c r="M66" i="8" a="1"/>
  <c r="M66" i="8" s="1"/>
  <c r="M67" i="8" a="1"/>
  <c r="M67" i="8" s="1"/>
  <c r="M68" i="8" a="1"/>
  <c r="M68" i="8" s="1"/>
  <c r="M69" i="8" a="1"/>
  <c r="M69" i="8" s="1"/>
  <c r="L12" i="8" a="1"/>
  <c r="L12" i="8" s="1"/>
  <c r="L13" i="8" a="1"/>
  <c r="L13" i="8" s="1"/>
  <c r="L14" i="8" a="1"/>
  <c r="L14" i="8" s="1"/>
  <c r="L15" i="8" a="1"/>
  <c r="L15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L22" i="8" a="1"/>
  <c r="L22" i="8" s="1"/>
  <c r="L23" i="8" a="1"/>
  <c r="L23" i="8" s="1"/>
  <c r="L24" i="8" a="1"/>
  <c r="L24" i="8" s="1"/>
  <c r="L25" i="8" a="1"/>
  <c r="L25" i="8" s="1"/>
  <c r="L26" i="8" a="1"/>
  <c r="L26" i="8" s="1"/>
  <c r="L27" i="8" a="1"/>
  <c r="L27" i="8" s="1"/>
  <c r="L28" i="8" a="1"/>
  <c r="L28" i="8" s="1"/>
  <c r="L29" i="8" a="1"/>
  <c r="L29" i="8" s="1"/>
  <c r="L30" i="8" a="1"/>
  <c r="L30" i="8" s="1"/>
  <c r="L31" i="8" a="1"/>
  <c r="L31" i="8" s="1"/>
  <c r="L32" i="8" a="1"/>
  <c r="L32" i="8" s="1"/>
  <c r="L33" i="8" a="1"/>
  <c r="L33" i="8" s="1"/>
  <c r="L34" i="8" a="1"/>
  <c r="L34" i="8" s="1"/>
  <c r="L35" i="8" a="1"/>
  <c r="L35" i="8" s="1"/>
  <c r="L36" i="8" a="1"/>
  <c r="L36" i="8" s="1"/>
  <c r="L37" i="8" a="1"/>
  <c r="L37" i="8" s="1"/>
  <c r="L38" i="8" a="1"/>
  <c r="L38" i="8" s="1"/>
  <c r="L39" i="8" a="1"/>
  <c r="L39" i="8" s="1"/>
  <c r="L40" i="8" a="1"/>
  <c r="L40" i="8" s="1"/>
  <c r="L41" i="8" a="1"/>
  <c r="L41" i="8" s="1"/>
  <c r="L42" i="8" a="1"/>
  <c r="L42" i="8" s="1"/>
  <c r="L43" i="8" a="1"/>
  <c r="L43" i="8" s="1"/>
  <c r="L44" i="8" a="1"/>
  <c r="L44" i="8" s="1"/>
  <c r="L45" i="8" a="1"/>
  <c r="L45" i="8" s="1"/>
  <c r="L46" i="8" a="1"/>
  <c r="L46" i="8" s="1"/>
  <c r="L47" i="8" a="1"/>
  <c r="L47" i="8" s="1"/>
  <c r="L48" i="8" a="1"/>
  <c r="L48" i="8" s="1"/>
  <c r="L49" i="8" a="1"/>
  <c r="L49" i="8" s="1"/>
  <c r="L50" i="8" a="1"/>
  <c r="L50" i="8" s="1"/>
  <c r="L51" i="8" a="1"/>
  <c r="L51" i="8" s="1"/>
  <c r="L52" i="8" a="1"/>
  <c r="L52" i="8" s="1"/>
  <c r="L53" i="8" a="1"/>
  <c r="L53" i="8" s="1"/>
  <c r="L54" i="8" a="1"/>
  <c r="L54" i="8" s="1"/>
  <c r="L55" i="8" a="1"/>
  <c r="L55" i="8" s="1"/>
  <c r="L56" i="8" a="1"/>
  <c r="L56" i="8" s="1"/>
  <c r="L57" i="8" a="1"/>
  <c r="L57" i="8" s="1"/>
  <c r="L58" i="8" a="1"/>
  <c r="L58" i="8" s="1"/>
  <c r="L59" i="8" a="1"/>
  <c r="L59" i="8" s="1"/>
  <c r="L60" i="8" a="1"/>
  <c r="L60" i="8" s="1"/>
  <c r="L61" i="8" a="1"/>
  <c r="L61" i="8" s="1"/>
  <c r="L62" i="8" a="1"/>
  <c r="L62" i="8" s="1"/>
  <c r="L63" i="8" a="1"/>
  <c r="L63" i="8" s="1"/>
  <c r="L64" i="8" a="1"/>
  <c r="L64" i="8" s="1"/>
  <c r="L65" i="8" a="1"/>
  <c r="L65" i="8" s="1"/>
  <c r="L66" i="8" a="1"/>
  <c r="L66" i="8" s="1"/>
  <c r="L67" i="8" a="1"/>
  <c r="L67" i="8" s="1"/>
  <c r="L68" i="8" a="1"/>
  <c r="L68" i="8" s="1"/>
  <c r="L69" i="8" a="1"/>
  <c r="L69" i="8" s="1"/>
  <c r="K12" i="8" a="1"/>
  <c r="K12" i="8" s="1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 s="1"/>
  <c r="K19" i="8" a="1"/>
  <c r="K19" i="8" s="1"/>
  <c r="K20" i="8" a="1"/>
  <c r="K20" i="8" s="1"/>
  <c r="K21" i="8" a="1"/>
  <c r="K21" i="8" s="1"/>
  <c r="K22" i="8" a="1"/>
  <c r="K22" i="8" s="1"/>
  <c r="K23" i="8" a="1"/>
  <c r="K23" i="8" s="1"/>
  <c r="K24" i="8" a="1"/>
  <c r="K24" i="8" s="1"/>
  <c r="K25" i="8" a="1"/>
  <c r="K25" i="8" s="1"/>
  <c r="K26" i="8" a="1"/>
  <c r="K26" i="8" s="1"/>
  <c r="K27" i="8" a="1"/>
  <c r="K27" i="8" s="1"/>
  <c r="K28" i="8" a="1"/>
  <c r="K28" i="8" s="1"/>
  <c r="K29" i="8" a="1"/>
  <c r="K29" i="8" s="1"/>
  <c r="K30" i="8" a="1"/>
  <c r="K30" i="8" s="1"/>
  <c r="K31" i="8" a="1"/>
  <c r="K31" i="8" s="1"/>
  <c r="K32" i="8" a="1"/>
  <c r="K32" i="8" s="1"/>
  <c r="K33" i="8" a="1"/>
  <c r="K33" i="8" s="1"/>
  <c r="K34" i="8" a="1"/>
  <c r="K34" i="8" s="1"/>
  <c r="K35" i="8" a="1"/>
  <c r="K35" i="8" s="1"/>
  <c r="K36" i="8" a="1"/>
  <c r="K36" i="8" s="1"/>
  <c r="K37" i="8" a="1"/>
  <c r="K37" i="8" s="1"/>
  <c r="K38" i="8" a="1"/>
  <c r="K38" i="8" s="1"/>
  <c r="K39" i="8" a="1"/>
  <c r="K39" i="8" s="1"/>
  <c r="K40" i="8" a="1"/>
  <c r="K40" i="8" s="1"/>
  <c r="K41" i="8" a="1"/>
  <c r="K41" i="8" s="1"/>
  <c r="K42" i="8" a="1"/>
  <c r="K42" i="8" s="1"/>
  <c r="K43" i="8" a="1"/>
  <c r="K43" i="8" s="1"/>
  <c r="K44" i="8" a="1"/>
  <c r="K44" i="8" s="1"/>
  <c r="K45" i="8" a="1"/>
  <c r="K45" i="8" s="1"/>
  <c r="K46" i="8" a="1"/>
  <c r="K46" i="8" s="1"/>
  <c r="K47" i="8" a="1"/>
  <c r="K47" i="8" s="1"/>
  <c r="K48" i="8" a="1"/>
  <c r="K48" i="8" s="1"/>
  <c r="K49" i="8" a="1"/>
  <c r="K49" i="8" s="1"/>
  <c r="K50" i="8" a="1"/>
  <c r="K50" i="8" s="1"/>
  <c r="K51" i="8" a="1"/>
  <c r="K51" i="8" s="1"/>
  <c r="K52" i="8" a="1"/>
  <c r="K52" i="8" s="1"/>
  <c r="K53" i="8" a="1"/>
  <c r="K53" i="8" s="1"/>
  <c r="K54" i="8" a="1"/>
  <c r="K54" i="8" s="1"/>
  <c r="K55" i="8" a="1"/>
  <c r="K55" i="8" s="1"/>
  <c r="K56" i="8" a="1"/>
  <c r="K56" i="8" s="1"/>
  <c r="K57" i="8" a="1"/>
  <c r="K57" i="8" s="1"/>
  <c r="K58" i="8" a="1"/>
  <c r="K58" i="8" s="1"/>
  <c r="K59" i="8" a="1"/>
  <c r="K59" i="8" s="1"/>
  <c r="K60" i="8" a="1"/>
  <c r="K60" i="8" s="1"/>
  <c r="K61" i="8" a="1"/>
  <c r="K61" i="8" s="1"/>
  <c r="K62" i="8" a="1"/>
  <c r="K62" i="8" s="1"/>
  <c r="K63" i="8" a="1"/>
  <c r="K63" i="8" s="1"/>
  <c r="K64" i="8" a="1"/>
  <c r="K64" i="8" s="1"/>
  <c r="K65" i="8" a="1"/>
  <c r="K65" i="8" s="1"/>
  <c r="K66" i="8" a="1"/>
  <c r="K66" i="8" s="1"/>
  <c r="K67" i="8" a="1"/>
  <c r="K67" i="8" s="1"/>
  <c r="K68" i="8" a="1"/>
  <c r="K68" i="8" s="1"/>
  <c r="K69" i="8" a="1"/>
  <c r="K69" i="8" s="1"/>
  <c r="J12" i="8" a="1"/>
  <c r="J12" i="8" s="1"/>
  <c r="J13" i="8" a="1"/>
  <c r="J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J20" i="8" a="1"/>
  <c r="J20" i="8" s="1"/>
  <c r="J21" i="8" a="1"/>
  <c r="J21" i="8" s="1"/>
  <c r="J22" i="8" a="1"/>
  <c r="J22" i="8" s="1"/>
  <c r="J23" i="8" a="1"/>
  <c r="J23" i="8" s="1"/>
  <c r="J24" i="8" a="1"/>
  <c r="J24" i="8" s="1"/>
  <c r="J25" i="8" a="1"/>
  <c r="J25" i="8" s="1"/>
  <c r="J26" i="8" a="1"/>
  <c r="J26" i="8" s="1"/>
  <c r="J27" i="8" a="1"/>
  <c r="J27" i="8" s="1"/>
  <c r="J28" i="8" a="1"/>
  <c r="J28" i="8" s="1"/>
  <c r="J29" i="8" a="1"/>
  <c r="J29" i="8" s="1"/>
  <c r="J30" i="8" a="1"/>
  <c r="J30" i="8" s="1"/>
  <c r="J31" i="8" a="1"/>
  <c r="J31" i="8" s="1"/>
  <c r="J32" i="8" a="1"/>
  <c r="J32" i="8" s="1"/>
  <c r="J33" i="8" a="1"/>
  <c r="J33" i="8" s="1"/>
  <c r="J34" i="8" a="1"/>
  <c r="J34" i="8" s="1"/>
  <c r="J35" i="8" a="1"/>
  <c r="J35" i="8" s="1"/>
  <c r="J36" i="8" a="1"/>
  <c r="J36" i="8" s="1"/>
  <c r="J37" i="8" a="1"/>
  <c r="J37" i="8" s="1"/>
  <c r="J38" i="8" a="1"/>
  <c r="J38" i="8" s="1"/>
  <c r="J39" i="8" a="1"/>
  <c r="J39" i="8" s="1"/>
  <c r="J40" i="8" a="1"/>
  <c r="J40" i="8" s="1"/>
  <c r="J41" i="8" a="1"/>
  <c r="J41" i="8" s="1"/>
  <c r="J42" i="8" a="1"/>
  <c r="J42" i="8" s="1"/>
  <c r="J43" i="8" a="1"/>
  <c r="J43" i="8" s="1"/>
  <c r="J44" i="8" a="1"/>
  <c r="J44" i="8" s="1"/>
  <c r="J45" i="8" a="1"/>
  <c r="J45" i="8" s="1"/>
  <c r="J46" i="8" a="1"/>
  <c r="J46" i="8" s="1"/>
  <c r="J47" i="8" a="1"/>
  <c r="J47" i="8" s="1"/>
  <c r="J48" i="8" a="1"/>
  <c r="J48" i="8" s="1"/>
  <c r="J49" i="8" a="1"/>
  <c r="J49" i="8" s="1"/>
  <c r="J50" i="8" a="1"/>
  <c r="J50" i="8" s="1"/>
  <c r="J51" i="8" a="1"/>
  <c r="J51" i="8" s="1"/>
  <c r="J52" i="8" a="1"/>
  <c r="J52" i="8" s="1"/>
  <c r="J53" i="8" a="1"/>
  <c r="J53" i="8" s="1"/>
  <c r="J54" i="8" a="1"/>
  <c r="J54" i="8" s="1"/>
  <c r="J55" i="8" a="1"/>
  <c r="J55" i="8" s="1"/>
  <c r="J56" i="8" a="1"/>
  <c r="J56" i="8" s="1"/>
  <c r="J57" i="8" a="1"/>
  <c r="J57" i="8" s="1"/>
  <c r="J58" i="8" a="1"/>
  <c r="J58" i="8" s="1"/>
  <c r="J59" i="8" a="1"/>
  <c r="J59" i="8" s="1"/>
  <c r="J60" i="8" a="1"/>
  <c r="J60" i="8" s="1"/>
  <c r="J61" i="8" a="1"/>
  <c r="J61" i="8" s="1"/>
  <c r="J62" i="8" a="1"/>
  <c r="J62" i="8" s="1"/>
  <c r="J63" i="8" a="1"/>
  <c r="J63" i="8" s="1"/>
  <c r="J64" i="8" a="1"/>
  <c r="J64" i="8" s="1"/>
  <c r="J65" i="8" a="1"/>
  <c r="J65" i="8" s="1"/>
  <c r="J66" i="8" a="1"/>
  <c r="J66" i="8" s="1"/>
  <c r="J67" i="8" a="1"/>
  <c r="J67" i="8" s="1"/>
  <c r="J68" i="8" a="1"/>
  <c r="J68" i="8" s="1"/>
  <c r="J69" i="8" a="1"/>
  <c r="J69" i="8" s="1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V12" i="8"/>
  <c r="BV13" i="8"/>
  <c r="BV14" i="8"/>
  <c r="BV15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38" i="8"/>
  <c r="BV39" i="8"/>
  <c r="BV40" i="8"/>
  <c r="BV41" i="8"/>
  <c r="BV42" i="8"/>
  <c r="BV43" i="8"/>
  <c r="BV44" i="8"/>
  <c r="BV45" i="8"/>
  <c r="BV46" i="8"/>
  <c r="BV47" i="8"/>
  <c r="BV48" i="8"/>
  <c r="BV49" i="8"/>
  <c r="BV50" i="8"/>
  <c r="BV51" i="8"/>
  <c r="BV52" i="8"/>
  <c r="BV53" i="8"/>
  <c r="BV54" i="8"/>
  <c r="BV55" i="8"/>
  <c r="BV56" i="8"/>
  <c r="BV57" i="8"/>
  <c r="BV58" i="8"/>
  <c r="BV59" i="8"/>
  <c r="BV60" i="8"/>
  <c r="BV61" i="8"/>
  <c r="BV62" i="8"/>
  <c r="BV63" i="8"/>
  <c r="BV64" i="8"/>
  <c r="BV65" i="8"/>
  <c r="BV66" i="8"/>
  <c r="BV67" i="8"/>
  <c r="BV68" i="8"/>
  <c r="BV69" i="8"/>
  <c r="BU12" i="8"/>
  <c r="BU13" i="8"/>
  <c r="BU14" i="8"/>
  <c r="BU15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1" i="8"/>
  <c r="BU42" i="8"/>
  <c r="BU43" i="8"/>
  <c r="BU44" i="8"/>
  <c r="BU45" i="8"/>
  <c r="BU46" i="8"/>
  <c r="BU47" i="8"/>
  <c r="BU48" i="8"/>
  <c r="BU49" i="8"/>
  <c r="BU50" i="8"/>
  <c r="BU51" i="8"/>
  <c r="BU52" i="8"/>
  <c r="BU53" i="8"/>
  <c r="BU54" i="8"/>
  <c r="BU55" i="8"/>
  <c r="BU56" i="8"/>
  <c r="BU57" i="8"/>
  <c r="BU58" i="8"/>
  <c r="BU59" i="8"/>
  <c r="BU60" i="8"/>
  <c r="BU61" i="8"/>
  <c r="BU62" i="8"/>
  <c r="BU63" i="8"/>
  <c r="BU64" i="8"/>
  <c r="BU65" i="8"/>
  <c r="BU66" i="8"/>
  <c r="BU67" i="8"/>
  <c r="BU68" i="8"/>
  <c r="BU69" i="8"/>
  <c r="BT12" i="8"/>
  <c r="BT13" i="8"/>
  <c r="BT14" i="8"/>
  <c r="BT15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59" i="8"/>
  <c r="BT60" i="8"/>
  <c r="BT61" i="8"/>
  <c r="BT62" i="8"/>
  <c r="BT63" i="8"/>
  <c r="BT64" i="8"/>
  <c r="BT65" i="8"/>
  <c r="BT66" i="8"/>
  <c r="BT67" i="8"/>
  <c r="BT68" i="8"/>
  <c r="BT69" i="8"/>
  <c r="BS12" i="8"/>
  <c r="BS13" i="8"/>
  <c r="BS14" i="8"/>
  <c r="BS15" i="8"/>
  <c r="BS16" i="8"/>
  <c r="BS17" i="8"/>
  <c r="BS18" i="8"/>
  <c r="BS19" i="8"/>
  <c r="BS20" i="8"/>
  <c r="BS21" i="8"/>
  <c r="BS22" i="8"/>
  <c r="BS23" i="8"/>
  <c r="BS24" i="8"/>
  <c r="BS25" i="8"/>
  <c r="BS26" i="8"/>
  <c r="BS27" i="8"/>
  <c r="BS28" i="8"/>
  <c r="BS29" i="8"/>
  <c r="BS30" i="8"/>
  <c r="BS31" i="8"/>
  <c r="BS32" i="8"/>
  <c r="BS33" i="8"/>
  <c r="BS34" i="8"/>
  <c r="BS35" i="8"/>
  <c r="BS36" i="8"/>
  <c r="BS37" i="8"/>
  <c r="BS38" i="8"/>
  <c r="BS39" i="8"/>
  <c r="BS40" i="8"/>
  <c r="BS41" i="8"/>
  <c r="BS42" i="8"/>
  <c r="BS43" i="8"/>
  <c r="BS44" i="8"/>
  <c r="BS45" i="8"/>
  <c r="BS46" i="8"/>
  <c r="BS47" i="8"/>
  <c r="BS48" i="8"/>
  <c r="BS49" i="8"/>
  <c r="BS50" i="8"/>
  <c r="BS51" i="8"/>
  <c r="BS52" i="8"/>
  <c r="BS53" i="8"/>
  <c r="BS54" i="8"/>
  <c r="BS55" i="8"/>
  <c r="BS56" i="8"/>
  <c r="BS57" i="8"/>
  <c r="BS58" i="8"/>
  <c r="BS59" i="8"/>
  <c r="BS60" i="8"/>
  <c r="BS61" i="8"/>
  <c r="BS62" i="8"/>
  <c r="BS63" i="8"/>
  <c r="BS64" i="8"/>
  <c r="BS65" i="8"/>
  <c r="BS66" i="8"/>
  <c r="BS67" i="8"/>
  <c r="BS68" i="8"/>
  <c r="BS69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R62" i="8"/>
  <c r="BR63" i="8"/>
  <c r="BR64" i="8"/>
  <c r="BR65" i="8"/>
  <c r="BR66" i="8"/>
  <c r="BR67" i="8"/>
  <c r="BR68" i="8"/>
  <c r="BR69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44" i="8"/>
  <c r="BQ45" i="8"/>
  <c r="BQ46" i="8"/>
  <c r="BQ47" i="8"/>
  <c r="BQ48" i="8"/>
  <c r="BQ49" i="8"/>
  <c r="BQ50" i="8"/>
  <c r="BQ51" i="8"/>
  <c r="BQ52" i="8"/>
  <c r="BQ53" i="8"/>
  <c r="BQ54" i="8"/>
  <c r="BQ55" i="8"/>
  <c r="BQ56" i="8"/>
  <c r="BQ57" i="8"/>
  <c r="BQ58" i="8"/>
  <c r="BQ59" i="8"/>
  <c r="BQ60" i="8"/>
  <c r="BQ61" i="8"/>
  <c r="BQ62" i="8"/>
  <c r="BQ63" i="8"/>
  <c r="BQ64" i="8"/>
  <c r="BQ65" i="8"/>
  <c r="BQ66" i="8"/>
  <c r="BQ67" i="8"/>
  <c r="BQ68" i="8"/>
  <c r="BQ69" i="8"/>
  <c r="BO12" i="8"/>
  <c r="BO13" i="8"/>
  <c r="BO14" i="8"/>
  <c r="BO15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59" i="8"/>
  <c r="BO60" i="8"/>
  <c r="BO61" i="8"/>
  <c r="BO62" i="8"/>
  <c r="BO63" i="8"/>
  <c r="BO64" i="8"/>
  <c r="BO65" i="8"/>
  <c r="BO66" i="8"/>
  <c r="BO67" i="8"/>
  <c r="BO68" i="8"/>
  <c r="BO69" i="8"/>
  <c r="BN12" i="8"/>
  <c r="BN13" i="8"/>
  <c r="BN14" i="8"/>
  <c r="BN15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48" i="8"/>
  <c r="BN49" i="8"/>
  <c r="BN50" i="8"/>
  <c r="BN51" i="8"/>
  <c r="BN52" i="8"/>
  <c r="BN53" i="8"/>
  <c r="BN54" i="8"/>
  <c r="BN55" i="8"/>
  <c r="BN56" i="8"/>
  <c r="BN57" i="8"/>
  <c r="BN58" i="8"/>
  <c r="BN59" i="8"/>
  <c r="BN60" i="8"/>
  <c r="BN61" i="8"/>
  <c r="BN62" i="8"/>
  <c r="BN63" i="8"/>
  <c r="BN64" i="8"/>
  <c r="BN65" i="8"/>
  <c r="BN66" i="8"/>
  <c r="BN67" i="8"/>
  <c r="BN68" i="8"/>
  <c r="BN69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38" i="8"/>
  <c r="BM39" i="8"/>
  <c r="BM40" i="8"/>
  <c r="BM41" i="8"/>
  <c r="BM42" i="8"/>
  <c r="BM43" i="8"/>
  <c r="BM44" i="8"/>
  <c r="BM45" i="8"/>
  <c r="BM46" i="8"/>
  <c r="BM47" i="8"/>
  <c r="BM48" i="8"/>
  <c r="BM49" i="8"/>
  <c r="BM50" i="8"/>
  <c r="BM51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BP11" i="8" a="1"/>
  <c r="BP11" i="8" s="1"/>
  <c r="BL11" i="8" a="1"/>
  <c r="BL11" i="8" s="1"/>
  <c r="BK11" i="8" a="1"/>
  <c r="BK11" i="8" s="1"/>
  <c r="BI11" i="8" a="1"/>
  <c r="BI11" i="8" s="1"/>
  <c r="BH11" i="8" a="1"/>
  <c r="BH11" i="8" s="1"/>
  <c r="BF11" i="8" a="1"/>
  <c r="BF11" i="8" s="1"/>
  <c r="BE11" i="8" a="1"/>
  <c r="BE11" i="8" s="1"/>
  <c r="BD11" i="8" a="1"/>
  <c r="BD11" i="8" s="1"/>
  <c r="BA11" i="8" a="1"/>
  <c r="BA11" i="8" s="1"/>
  <c r="AZ11" i="8" a="1"/>
  <c r="AZ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I11" i="8" a="1"/>
  <c r="AI11" i="8" s="1"/>
  <c r="AH11" i="8" a="1"/>
  <c r="AH11" i="8" s="1"/>
  <c r="AG11" i="8" a="1"/>
  <c r="AG11" i="8" s="1"/>
  <c r="AF11" i="8" a="1"/>
  <c r="AF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 s="1"/>
  <c r="J11" i="8" a="1"/>
  <c r="J11" i="8" s="1"/>
  <c r="BW11" i="8"/>
  <c r="BV11" i="8"/>
  <c r="BU11" i="8"/>
  <c r="BT11" i="8"/>
  <c r="BS11" i="8"/>
  <c r="BR11" i="8"/>
  <c r="BQ11" i="8"/>
  <c r="BO11" i="8"/>
  <c r="BN11" i="8"/>
  <c r="BM11" i="8"/>
  <c r="BC11" i="8"/>
  <c r="BB11" i="8"/>
  <c r="AY11" i="8"/>
  <c r="AX11" i="8"/>
  <c r="AW11" i="8"/>
  <c r="V11" i="8"/>
  <c r="U11" i="8"/>
  <c r="T11" i="8"/>
  <c r="S11" i="8"/>
  <c r="H11" i="8"/>
  <c r="G11" i="8"/>
  <c r="F11" i="8"/>
  <c r="E11" i="8"/>
  <c r="D11" i="8"/>
  <c r="C11" i="8"/>
  <c r="BL70" i="8" a="1"/>
  <c r="BL70" i="8" s="1"/>
  <c r="BK70" i="8" a="1"/>
  <c r="BK70" i="8" s="1"/>
  <c r="BI70" i="8" a="1"/>
  <c r="BI70" i="8" s="1"/>
  <c r="BH70" i="8" a="1"/>
  <c r="BH70" i="8" s="1"/>
  <c r="BF70" i="8" a="1"/>
  <c r="BF70" i="8" s="1"/>
  <c r="BE70" i="8" a="1"/>
  <c r="BE70" i="8" s="1"/>
  <c r="BD70" i="8" a="1"/>
  <c r="BD70" i="8" s="1"/>
  <c r="BA70" i="8" a="1"/>
  <c r="BA70" i="8" s="1"/>
  <c r="AZ70" i="8" a="1"/>
  <c r="AZ70" i="8" s="1"/>
  <c r="AV70" i="8" a="1"/>
  <c r="AV70" i="8" s="1"/>
  <c r="AU70" i="8" a="1"/>
  <c r="AU70" i="8" s="1"/>
  <c r="AT70" i="8" a="1"/>
  <c r="AT70" i="8" s="1"/>
  <c r="AS70" i="8" a="1"/>
  <c r="AS70" i="8" s="1"/>
  <c r="AR70" i="8" a="1"/>
  <c r="AR70" i="8" s="1"/>
  <c r="AQ70" i="8" a="1"/>
  <c r="AQ70" i="8" s="1"/>
  <c r="AP70" i="8" a="1"/>
  <c r="AP70" i="8" s="1"/>
  <c r="AO70" i="8" a="1"/>
  <c r="AO70" i="8" s="1"/>
  <c r="AN70" i="8" a="1"/>
  <c r="AN70" i="8" s="1"/>
  <c r="AM70" i="8" a="1"/>
  <c r="AM70" i="8" s="1"/>
  <c r="AL70" i="8" a="1"/>
  <c r="AL70" i="8" s="1"/>
  <c r="AI70" i="8" a="1"/>
  <c r="AI70" i="8" s="1"/>
  <c r="AH70" i="8" a="1"/>
  <c r="AH70" i="8" s="1"/>
  <c r="AG70" i="8" a="1"/>
  <c r="AG70" i="8" s="1"/>
  <c r="AF70" i="8" a="1"/>
  <c r="AF70" i="8" s="1"/>
  <c r="AD70" i="8" a="1"/>
  <c r="AD70" i="8" s="1"/>
  <c r="AC70" i="8" a="1"/>
  <c r="AC70" i="8" s="1"/>
  <c r="AB70" i="8" a="1"/>
  <c r="AB70" i="8" s="1"/>
  <c r="AA70" i="8" a="1"/>
  <c r="AA70" i="8" s="1"/>
  <c r="Z70" i="8" a="1"/>
  <c r="Z70" i="8" s="1"/>
  <c r="Y70" i="8" a="1"/>
  <c r="Y70" i="8" s="1"/>
  <c r="X70" i="8" a="1"/>
  <c r="X70" i="8" s="1"/>
  <c r="W70" i="8" a="1"/>
  <c r="W70" i="8" s="1"/>
  <c r="R70" i="8" a="1"/>
  <c r="R70" i="8" s="1"/>
  <c r="Q70" i="8" a="1"/>
  <c r="Q70" i="8" s="1"/>
  <c r="P70" i="8" a="1"/>
  <c r="P70" i="8" s="1"/>
  <c r="O70" i="8" a="1"/>
  <c r="O70" i="8" s="1"/>
  <c r="N70" i="8" a="1"/>
  <c r="N70" i="8" s="1"/>
  <c r="M70" i="8" a="1"/>
  <c r="M70" i="8" s="1"/>
  <c r="L70" i="8" a="1"/>
  <c r="L70" i="8" s="1"/>
  <c r="K70" i="8" a="1"/>
  <c r="K70" i="8" s="1"/>
  <c r="J70" i="8" a="1"/>
  <c r="J70" i="8" s="1"/>
  <c r="BG13" i="8" a="1"/>
  <c r="BG13" i="8" s="1"/>
  <c r="BG11" i="8" a="1"/>
  <c r="BG11" i="8" s="1"/>
  <c r="BG12" i="8" a="1"/>
  <c r="BG12" i="8" s="1"/>
  <c r="BG14" i="8" a="1"/>
  <c r="BG14" i="8" s="1"/>
  <c r="BG15" i="8" a="1"/>
  <c r="BG15" i="8" s="1"/>
  <c r="BG16" i="8" a="1"/>
  <c r="BG16" i="8" s="1"/>
  <c r="BG17" i="8" a="1"/>
  <c r="BG17" i="8" s="1"/>
  <c r="BG18" i="8" a="1"/>
  <c r="BG18" i="8" s="1"/>
  <c r="BG19" i="8" a="1"/>
  <c r="BG19" i="8" s="1"/>
  <c r="BG20" i="8" a="1"/>
  <c r="BG20" i="8" s="1"/>
  <c r="BG21" i="8" a="1"/>
  <c r="BG21" i="8" s="1"/>
  <c r="BG22" i="8" a="1"/>
  <c r="BG22" i="8" s="1"/>
  <c r="BG23" i="8" a="1"/>
  <c r="BG23" i="8" s="1"/>
  <c r="BG24" i="8" a="1"/>
  <c r="BG24" i="8" s="1"/>
  <c r="BG25" i="8" a="1"/>
  <c r="BG25" i="8" s="1"/>
  <c r="BG26" i="8" a="1"/>
  <c r="BG26" i="8" s="1"/>
  <c r="BG27" i="8" a="1"/>
  <c r="BG27" i="8" s="1"/>
  <c r="BG28" i="8" a="1"/>
  <c r="BG28" i="8" s="1"/>
  <c r="BG30" i="8" a="1"/>
  <c r="BG30" i="8" s="1"/>
  <c r="BG31" i="8" a="1"/>
  <c r="BG31" i="8" s="1"/>
  <c r="BG32" i="8" a="1"/>
  <c r="BG32" i="8" s="1"/>
  <c r="BG33" i="8" a="1"/>
  <c r="BG33" i="8" s="1"/>
  <c r="BG34" i="8" a="1"/>
  <c r="BG34" i="8" s="1"/>
  <c r="BG35" i="8" a="1"/>
  <c r="BG35" i="8" s="1"/>
  <c r="BG36" i="8" a="1"/>
  <c r="BG36" i="8" s="1"/>
  <c r="BG37" i="8" a="1"/>
  <c r="BG37" i="8" s="1"/>
  <c r="BG38" i="8" a="1"/>
  <c r="BG38" i="8" s="1"/>
  <c r="BG39" i="8" a="1"/>
  <c r="BG39" i="8" s="1"/>
  <c r="BG40" i="8" a="1"/>
  <c r="BG40" i="8" s="1"/>
  <c r="BG41" i="8" a="1"/>
  <c r="BG41" i="8" s="1"/>
  <c r="BG42" i="8" a="1"/>
  <c r="BG42" i="8" s="1"/>
  <c r="BG43" i="8" a="1"/>
  <c r="BG43" i="8" s="1"/>
  <c r="BG44" i="8" a="1"/>
  <c r="BG44" i="8" s="1"/>
  <c r="BG45" i="8" a="1"/>
  <c r="BG45" i="8" s="1"/>
  <c r="BG46" i="8" a="1"/>
  <c r="BG46" i="8" s="1"/>
  <c r="BG47" i="8" a="1"/>
  <c r="BG47" i="8" s="1"/>
  <c r="BG48" i="8" a="1"/>
  <c r="BG48" i="8" s="1"/>
  <c r="BG49" i="8" a="1"/>
  <c r="BG49" i="8" s="1"/>
  <c r="BG50" i="8" a="1"/>
  <c r="BG50" i="8" s="1"/>
  <c r="BG51" i="8" a="1"/>
  <c r="BG51" i="8" s="1"/>
  <c r="BG52" i="8" a="1"/>
  <c r="BG52" i="8" s="1"/>
  <c r="BG54" i="8" a="1"/>
  <c r="BG54" i="8" s="1"/>
  <c r="BG55" i="8" a="1"/>
  <c r="BG55" i="8" s="1"/>
  <c r="BG56" i="8" a="1"/>
  <c r="BG56" i="8" s="1"/>
  <c r="BG57" i="8" a="1"/>
  <c r="BG57" i="8" s="1"/>
  <c r="BG58" i="8" a="1"/>
  <c r="BG58" i="8" s="1"/>
  <c r="BG59" i="8" a="1"/>
  <c r="BG59" i="8" s="1"/>
  <c r="BG60" i="8" a="1"/>
  <c r="BG60" i="8" s="1"/>
  <c r="BG61" i="8" a="1"/>
  <c r="BG61" i="8" s="1"/>
  <c r="BG62" i="8" a="1"/>
  <c r="BG62" i="8" s="1"/>
  <c r="BG63" i="8" a="1"/>
  <c r="BG63" i="8" s="1"/>
  <c r="BG64" i="8" a="1"/>
  <c r="BG64" i="8" s="1"/>
  <c r="BG65" i="8" a="1"/>
  <c r="BG65" i="8" s="1"/>
  <c r="BG66" i="8" a="1"/>
  <c r="BG66" i="8" s="1"/>
  <c r="BG67" i="8" a="1"/>
  <c r="BG67" i="8" s="1"/>
  <c r="AW25" i="18" l="1"/>
  <c r="AW15" i="18"/>
  <c r="AW13" i="18"/>
  <c r="AW19" i="18"/>
  <c r="AW28" i="18"/>
  <c r="AW18" i="18"/>
  <c r="AW26" i="18"/>
  <c r="AW62" i="18"/>
  <c r="AW31" i="18"/>
  <c r="AW65" i="18"/>
  <c r="AW53" i="18"/>
  <c r="AW52" i="18"/>
  <c r="AW16" i="18"/>
  <c r="AW42" i="18"/>
  <c r="AW29" i="18"/>
  <c r="AW30" i="18"/>
  <c r="AW66" i="18"/>
  <c r="AW54" i="18"/>
  <c r="AW43" i="18"/>
  <c r="AW67" i="18"/>
  <c r="AW55" i="18"/>
  <c r="AW32" i="18"/>
  <c r="AW71" i="18"/>
  <c r="AW44" i="18"/>
  <c r="AW48" i="18"/>
  <c r="AW20" i="18"/>
  <c r="AW69" i="18"/>
  <c r="AW57" i="18"/>
  <c r="AW47" i="18"/>
  <c r="AW35" i="18"/>
  <c r="AW41" i="18"/>
  <c r="AW23" i="18"/>
  <c r="AW37" i="18"/>
  <c r="AW39" i="18"/>
  <c r="AW27" i="18"/>
  <c r="AW59" i="18"/>
  <c r="AW14" i="18"/>
  <c r="AW46" i="18"/>
  <c r="AW70" i="18"/>
  <c r="AW58" i="18"/>
  <c r="AW17" i="18"/>
  <c r="AW40" i="18"/>
  <c r="AW33" i="18"/>
  <c r="AW34" i="18"/>
  <c r="AW24" i="18"/>
  <c r="AW21" i="18"/>
  <c r="AW63" i="18"/>
  <c r="AW51" i="18"/>
  <c r="AW22" i="18"/>
  <c r="AW36" i="18"/>
  <c r="AW68" i="18"/>
  <c r="AW56" i="18"/>
  <c r="AW61" i="18"/>
  <c r="AW49" i="18"/>
  <c r="AW64" i="18"/>
  <c r="AW12" i="18"/>
  <c r="AW60" i="18"/>
  <c r="AW45" i="18"/>
  <c r="D23" i="7"/>
  <c r="BG69" i="8" a="1"/>
  <c r="BG69" i="8" s="1"/>
  <c r="BG68" i="8" a="1"/>
  <c r="BG68" i="8" s="1"/>
  <c r="B9" i="9" a="1"/>
  <c r="B9" i="9" s="1"/>
  <c r="B14" i="9" a="1"/>
  <c r="B14" i="9" s="1"/>
  <c r="M3" i="9" a="1"/>
  <c r="M3" i="9" s="1"/>
  <c r="J15" i="9" a="1"/>
  <c r="J15" i="9" s="1"/>
  <c r="H17" i="9" a="1"/>
  <c r="H17" i="9" s="1"/>
  <c r="K17" i="9" a="1"/>
  <c r="K17" i="9" s="1"/>
  <c r="B21" i="9" a="1"/>
  <c r="B21" i="9" s="1"/>
  <c r="E21" i="9" a="1"/>
  <c r="E21" i="9" s="1"/>
  <c r="E17" i="9" a="1"/>
  <c r="E17" i="9" s="1"/>
  <c r="B17" i="9" a="1"/>
  <c r="B17" i="9" s="1"/>
  <c r="K21" i="9" a="1"/>
  <c r="K21" i="9" s="1"/>
  <c r="G15" i="9" a="1"/>
  <c r="G15" i="9" s="1"/>
  <c r="D15" i="9" a="1"/>
  <c r="D15" i="9" s="1"/>
  <c r="M15" i="9" a="1"/>
  <c r="M15" i="9" s="1"/>
  <c r="D19" i="9" a="1"/>
  <c r="D19" i="9" s="1"/>
  <c r="G19" i="9" a="1"/>
  <c r="G19" i="9" s="1"/>
  <c r="M19" i="9" a="1"/>
  <c r="M19" i="9" s="1"/>
  <c r="BJ46" i="8" a="1"/>
  <c r="BJ46" i="8" s="1"/>
  <c r="BJ61" i="8" a="1"/>
  <c r="BJ61" i="8" s="1"/>
  <c r="BJ27" i="8" a="1"/>
  <c r="BJ27" i="8" s="1"/>
  <c r="BJ35" i="8" a="1"/>
  <c r="BJ35" i="8" s="1"/>
  <c r="BJ64" i="8" a="1"/>
  <c r="BJ64" i="8" s="1"/>
  <c r="BJ11" i="8" a="1"/>
  <c r="BJ11" i="8" s="1"/>
  <c r="BJ40" i="8" a="1"/>
  <c r="BJ40" i="8" s="1"/>
  <c r="BJ31" i="8" a="1"/>
  <c r="BJ31" i="8" s="1"/>
  <c r="BJ47" i="8" a="1"/>
  <c r="BJ47" i="8" s="1"/>
  <c r="BJ53" i="8" a="1"/>
  <c r="BJ53" i="8" s="1"/>
  <c r="BJ23" i="8" a="1"/>
  <c r="BJ23" i="8" s="1"/>
  <c r="BJ28" i="8" a="1"/>
  <c r="BJ28" i="8" s="1"/>
  <c r="BJ55" i="8" a="1"/>
  <c r="BJ55" i="8" s="1"/>
  <c r="BJ22" i="8" a="1"/>
  <c r="BJ22" i="8" s="1"/>
  <c r="BJ39" i="8" a="1"/>
  <c r="BJ39" i="8" s="1"/>
  <c r="BJ70" i="8" a="1"/>
  <c r="BJ70" i="8" s="1"/>
  <c r="BG70" i="8" a="1"/>
  <c r="BG70" i="8" s="1"/>
  <c r="BJ38" i="8" a="1"/>
  <c r="BJ38" i="8" s="1"/>
  <c r="BJ56" i="8" a="1"/>
  <c r="BJ56" i="8" s="1"/>
  <c r="BJ43" i="8" a="1"/>
  <c r="BJ43" i="8" s="1"/>
  <c r="BJ42" i="8" a="1"/>
  <c r="BJ42" i="8" s="1"/>
  <c r="BJ14" i="8" a="1"/>
  <c r="BJ14" i="8" s="1"/>
  <c r="BJ17" i="8" a="1"/>
  <c r="BJ17" i="8" s="1"/>
  <c r="BJ50" i="8" a="1"/>
  <c r="BJ50" i="8" s="1"/>
  <c r="BJ30" i="8" a="1"/>
  <c r="BJ30" i="8" s="1"/>
  <c r="BJ63" i="8" a="1"/>
  <c r="BJ63" i="8" s="1"/>
  <c r="BJ36" i="8" a="1"/>
  <c r="BJ36" i="8" s="1"/>
  <c r="BJ12" i="8" a="1"/>
  <c r="BJ12" i="8" s="1"/>
  <c r="BJ13" i="8" a="1"/>
  <c r="BJ13" i="8" s="1"/>
  <c r="BJ25" i="8" a="1"/>
  <c r="BJ25" i="8" s="1"/>
  <c r="G9" i="7"/>
  <c r="G8" i="7"/>
  <c r="B94" i="7"/>
  <c r="E94" i="7" s="1"/>
  <c r="B93" i="7"/>
  <c r="K93" i="7" s="1"/>
  <c r="B92" i="7"/>
  <c r="J92" i="7" s="1"/>
  <c r="B91" i="7"/>
  <c r="I91" i="7" s="1"/>
  <c r="B90" i="7"/>
  <c r="C90" i="7" s="1"/>
  <c r="B89" i="7"/>
  <c r="F89" i="7" s="1"/>
  <c r="B88" i="7"/>
  <c r="F88" i="7" s="1"/>
  <c r="B87" i="7"/>
  <c r="E87" i="7" s="1"/>
  <c r="B86" i="7"/>
  <c r="D86" i="7" s="1"/>
  <c r="B85" i="7"/>
  <c r="C85" i="7" s="1"/>
  <c r="B84" i="7"/>
  <c r="I84" i="7" s="1"/>
  <c r="B83" i="7"/>
  <c r="B82" i="7"/>
  <c r="E82" i="7" s="1"/>
  <c r="B81" i="7"/>
  <c r="K81" i="7" s="1"/>
  <c r="B80" i="7"/>
  <c r="J80" i="7" s="1"/>
  <c r="B79" i="7"/>
  <c r="I79" i="7" s="1"/>
  <c r="B78" i="7"/>
  <c r="C78" i="7" s="1"/>
  <c r="B77" i="7"/>
  <c r="J77" i="7" s="1"/>
  <c r="B76" i="7"/>
  <c r="E76" i="7" s="1"/>
  <c r="B75" i="7"/>
  <c r="E75" i="7" s="1"/>
  <c r="B74" i="7"/>
  <c r="D74" i="7" s="1"/>
  <c r="B73" i="7"/>
  <c r="J73" i="7" s="1"/>
  <c r="B72" i="7"/>
  <c r="J72" i="7" s="1"/>
  <c r="B71" i="7"/>
  <c r="E71" i="7" s="1"/>
  <c r="B70" i="7"/>
  <c r="D70" i="7" s="1"/>
  <c r="B69" i="7"/>
  <c r="K69" i="7" s="1"/>
  <c r="B68" i="7"/>
  <c r="J68" i="7" s="1"/>
  <c r="B67" i="7"/>
  <c r="I67" i="7" s="1"/>
  <c r="B66" i="7"/>
  <c r="C66" i="7" s="1"/>
  <c r="B65" i="7"/>
  <c r="F65" i="7" s="1"/>
  <c r="B64" i="7"/>
  <c r="E64" i="7" s="1"/>
  <c r="B63" i="7"/>
  <c r="E63" i="7" s="1"/>
  <c r="B62" i="7"/>
  <c r="D62" i="7" s="1"/>
  <c r="B61" i="7"/>
  <c r="J61" i="7" s="1"/>
  <c r="B60" i="7"/>
  <c r="J60" i="7" s="1"/>
  <c r="B59" i="7"/>
  <c r="E59" i="7" s="1"/>
  <c r="B58" i="7"/>
  <c r="D58" i="7" s="1"/>
  <c r="B57" i="7"/>
  <c r="K57" i="7" s="1"/>
  <c r="B56" i="7"/>
  <c r="J56" i="7" s="1"/>
  <c r="B55" i="7"/>
  <c r="I55" i="7" s="1"/>
  <c r="B54" i="7"/>
  <c r="C54" i="7" s="1"/>
  <c r="B53" i="7"/>
  <c r="K53" i="7" s="1"/>
  <c r="B52" i="7"/>
  <c r="E52" i="7" s="1"/>
  <c r="B51" i="7"/>
  <c r="E51" i="7" s="1"/>
  <c r="B50" i="7"/>
  <c r="D50" i="7" s="1"/>
  <c r="B49" i="7"/>
  <c r="J49" i="7" s="1"/>
  <c r="B48" i="7"/>
  <c r="J48" i="7" s="1"/>
  <c r="B47" i="7"/>
  <c r="E47" i="7" s="1"/>
  <c r="B46" i="7"/>
  <c r="D46" i="7" s="1"/>
  <c r="B45" i="7"/>
  <c r="K45" i="7" s="1"/>
  <c r="B44" i="7"/>
  <c r="J44" i="7" s="1"/>
  <c r="B43" i="7"/>
  <c r="I43" i="7" s="1"/>
  <c r="B42" i="7"/>
  <c r="C42" i="7" s="1"/>
  <c r="B41" i="7"/>
  <c r="H41" i="7" s="1"/>
  <c r="B40" i="7"/>
  <c r="E40" i="7" s="1"/>
  <c r="B39" i="7"/>
  <c r="E39" i="7" s="1"/>
  <c r="B38" i="7"/>
  <c r="D38" i="7" s="1"/>
  <c r="B37" i="7"/>
  <c r="J37" i="7" s="1"/>
  <c r="B36" i="7"/>
  <c r="J36" i="7" s="1"/>
  <c r="B35" i="7"/>
  <c r="L30" i="7"/>
  <c r="K30" i="7"/>
  <c r="J30" i="7"/>
  <c r="I30" i="7"/>
  <c r="H30" i="7"/>
  <c r="G30" i="7"/>
  <c r="F30" i="7"/>
  <c r="E30" i="7"/>
  <c r="D30" i="7"/>
  <c r="L29" i="7"/>
  <c r="K29" i="7"/>
  <c r="J29" i="7"/>
  <c r="I29" i="7"/>
  <c r="H29" i="7"/>
  <c r="G29" i="7"/>
  <c r="F29" i="7"/>
  <c r="E29" i="7"/>
  <c r="D29" i="7"/>
  <c r="L28" i="7"/>
  <c r="K28" i="7"/>
  <c r="J28" i="7"/>
  <c r="I28" i="7"/>
  <c r="H28" i="7"/>
  <c r="G28" i="7"/>
  <c r="F28" i="7"/>
  <c r="E28" i="7"/>
  <c r="D28" i="7"/>
  <c r="L27" i="7"/>
  <c r="K27" i="7"/>
  <c r="J27" i="7"/>
  <c r="I27" i="7"/>
  <c r="H27" i="7"/>
  <c r="G27" i="7"/>
  <c r="F27" i="7"/>
  <c r="E27" i="7"/>
  <c r="D27" i="7"/>
  <c r="L26" i="7"/>
  <c r="K26" i="7"/>
  <c r="J26" i="7"/>
  <c r="I26" i="7"/>
  <c r="H26" i="7"/>
  <c r="G26" i="7"/>
  <c r="F26" i="7"/>
  <c r="E26" i="7"/>
  <c r="D26" i="7"/>
  <c r="L25" i="7"/>
  <c r="K25" i="7"/>
  <c r="J25" i="7"/>
  <c r="I25" i="7"/>
  <c r="H25" i="7"/>
  <c r="G25" i="7"/>
  <c r="F25" i="7"/>
  <c r="E25" i="7"/>
  <c r="D25" i="7"/>
  <c r="L24" i="7"/>
  <c r="K24" i="7"/>
  <c r="J24" i="7"/>
  <c r="I24" i="7"/>
  <c r="H24" i="7"/>
  <c r="G24" i="7"/>
  <c r="F24" i="7"/>
  <c r="E24" i="7"/>
  <c r="D24" i="7"/>
  <c r="L23" i="7"/>
  <c r="K23" i="7"/>
  <c r="J23" i="7"/>
  <c r="I23" i="7"/>
  <c r="H23" i="7"/>
  <c r="G23" i="7"/>
  <c r="F23" i="7"/>
  <c r="E23" i="7"/>
  <c r="L22" i="7"/>
  <c r="K22" i="7"/>
  <c r="J22" i="7"/>
  <c r="I22" i="7"/>
  <c r="H22" i="7"/>
  <c r="G22" i="7"/>
  <c r="F22" i="7"/>
  <c r="E22" i="7"/>
  <c r="D22" i="7"/>
  <c r="J16" i="7"/>
  <c r="G16" i="7"/>
  <c r="E16" i="7"/>
  <c r="C16" i="7"/>
  <c r="J15" i="7"/>
  <c r="G15" i="7"/>
  <c r="E15" i="7"/>
  <c r="C15" i="7"/>
  <c r="J14" i="7"/>
  <c r="G14" i="7"/>
  <c r="E14" i="7"/>
  <c r="C14" i="7"/>
  <c r="J13" i="7"/>
  <c r="G13" i="7"/>
  <c r="E13" i="7"/>
  <c r="C13" i="7"/>
  <c r="J12" i="7"/>
  <c r="G12" i="7"/>
  <c r="E12" i="7"/>
  <c r="C12" i="7"/>
  <c r="J11" i="7"/>
  <c r="G11" i="7"/>
  <c r="E11" i="7"/>
  <c r="C11" i="7"/>
  <c r="J10" i="7"/>
  <c r="G10" i="7"/>
  <c r="E10" i="7"/>
  <c r="C10" i="7"/>
  <c r="J9" i="7"/>
  <c r="E9" i="7"/>
  <c r="C9" i="7"/>
  <c r="J8" i="7"/>
  <c r="E8" i="7"/>
  <c r="C8" i="7"/>
  <c r="BJ68" i="8" l="1" a="1"/>
  <c r="BJ68" i="8" s="1"/>
  <c r="BJ69" i="8" a="1"/>
  <c r="BJ69" i="8" s="1"/>
  <c r="D9" i="9" a="1"/>
  <c r="D9" i="9" s="1"/>
  <c r="L9" i="9" a="1"/>
  <c r="L9" i="9" s="1"/>
  <c r="F9" i="9" a="1"/>
  <c r="F9" i="9" s="1"/>
  <c r="H9" i="9" a="1"/>
  <c r="H9" i="9" s="1"/>
  <c r="J9" i="9" a="1"/>
  <c r="J9" i="9" s="1"/>
  <c r="H21" i="9" a="1"/>
  <c r="H21" i="9" s="1"/>
  <c r="J19" i="9" a="1"/>
  <c r="J19" i="9" s="1"/>
  <c r="F9" i="7"/>
  <c r="H12" i="7"/>
  <c r="D64" i="7"/>
  <c r="F64" i="7"/>
  <c r="H64" i="7"/>
  <c r="I64" i="7"/>
  <c r="J64" i="7"/>
  <c r="F37" i="7"/>
  <c r="C60" i="7"/>
  <c r="C75" i="7"/>
  <c r="F8" i="7"/>
  <c r="C64" i="7"/>
  <c r="K80" i="7"/>
  <c r="D9" i="7"/>
  <c r="K9" i="7" s="1"/>
  <c r="G64" i="7"/>
  <c r="D11" i="7"/>
  <c r="K11" i="7" s="1"/>
  <c r="D14" i="7"/>
  <c r="K14" i="7" s="1"/>
  <c r="E85" i="7"/>
  <c r="F11" i="7"/>
  <c r="F14" i="7"/>
  <c r="H37" i="7"/>
  <c r="H11" i="7"/>
  <c r="I38" i="7"/>
  <c r="C39" i="7"/>
  <c r="C48" i="7"/>
  <c r="J39" i="7"/>
  <c r="G48" i="7"/>
  <c r="I74" i="7"/>
  <c r="D16" i="7"/>
  <c r="L16" i="7" s="1"/>
  <c r="G65" i="7"/>
  <c r="E84" i="7"/>
  <c r="D10" i="7"/>
  <c r="L10" i="7" s="1"/>
  <c r="D13" i="7"/>
  <c r="L13" i="7" s="1"/>
  <c r="H10" i="7"/>
  <c r="H16" i="7"/>
  <c r="D42" i="7"/>
  <c r="J67" i="7"/>
  <c r="J76" i="7"/>
  <c r="D85" i="7"/>
  <c r="H9" i="7"/>
  <c r="H86" i="7"/>
  <c r="H15" i="7"/>
  <c r="F53" i="7"/>
  <c r="C61" i="7"/>
  <c r="G75" i="7"/>
  <c r="D81" i="7"/>
  <c r="G88" i="7"/>
  <c r="F61" i="7"/>
  <c r="J55" i="7"/>
  <c r="G61" i="7"/>
  <c r="C49" i="7"/>
  <c r="H61" i="7"/>
  <c r="D72" i="7"/>
  <c r="D76" i="7"/>
  <c r="F36" i="7"/>
  <c r="G49" i="7"/>
  <c r="K56" i="7"/>
  <c r="K61" i="7"/>
  <c r="K64" i="7"/>
  <c r="E72" i="7"/>
  <c r="G76" i="7"/>
  <c r="G72" i="7"/>
  <c r="I76" i="7"/>
  <c r="K92" i="7"/>
  <c r="E61" i="7"/>
  <c r="I63" i="7"/>
  <c r="C52" i="7"/>
  <c r="F74" i="7"/>
  <c r="D12" i="7"/>
  <c r="E38" i="7"/>
  <c r="H52" i="7"/>
  <c r="H74" i="7"/>
  <c r="F15" i="7"/>
  <c r="D41" i="7"/>
  <c r="E50" i="7"/>
  <c r="D54" i="7"/>
  <c r="E66" i="7"/>
  <c r="F84" i="7"/>
  <c r="C87" i="7"/>
  <c r="D90" i="7"/>
  <c r="E41" i="7"/>
  <c r="F50" i="7"/>
  <c r="E54" i="7"/>
  <c r="F66" i="7"/>
  <c r="K84" i="7"/>
  <c r="F87" i="7"/>
  <c r="I41" i="7"/>
  <c r="G50" i="7"/>
  <c r="F54" i="7"/>
  <c r="J66" i="7"/>
  <c r="H87" i="7"/>
  <c r="J91" i="7"/>
  <c r="F48" i="7"/>
  <c r="I50" i="7"/>
  <c r="G54" i="7"/>
  <c r="F72" i="7"/>
  <c r="F75" i="7"/>
  <c r="C77" i="7"/>
  <c r="H54" i="7"/>
  <c r="D77" i="7"/>
  <c r="F39" i="7"/>
  <c r="H42" i="7"/>
  <c r="K48" i="7"/>
  <c r="I54" i="7"/>
  <c r="D60" i="7"/>
  <c r="F62" i="7"/>
  <c r="K67" i="7"/>
  <c r="K72" i="7"/>
  <c r="H75" i="7"/>
  <c r="E77" i="7"/>
  <c r="F85" i="7"/>
  <c r="H88" i="7"/>
  <c r="G39" i="7"/>
  <c r="J54" i="7"/>
  <c r="G60" i="7"/>
  <c r="G62" i="7"/>
  <c r="I75" i="7"/>
  <c r="F77" i="7"/>
  <c r="D82" i="7"/>
  <c r="H85" i="7"/>
  <c r="I88" i="7"/>
  <c r="C93" i="7"/>
  <c r="H39" i="7"/>
  <c r="K54" i="7"/>
  <c r="K60" i="7"/>
  <c r="I62" i="7"/>
  <c r="J75" i="7"/>
  <c r="G77" i="7"/>
  <c r="J88" i="7"/>
  <c r="D93" i="7"/>
  <c r="C37" i="7"/>
  <c r="I39" i="7"/>
  <c r="K44" i="7"/>
  <c r="D49" i="7"/>
  <c r="C65" i="7"/>
  <c r="C69" i="7"/>
  <c r="E74" i="7"/>
  <c r="H77" i="7"/>
  <c r="E86" i="7"/>
  <c r="K88" i="7"/>
  <c r="I77" i="7"/>
  <c r="C94" i="7"/>
  <c r="G37" i="7"/>
  <c r="D45" i="7"/>
  <c r="H49" i="7"/>
  <c r="J53" i="7"/>
  <c r="D61" i="7"/>
  <c r="J65" i="7"/>
  <c r="G74" i="7"/>
  <c r="F76" i="7"/>
  <c r="K77" i="7"/>
  <c r="C84" i="7"/>
  <c r="I86" i="7"/>
  <c r="C89" i="7"/>
  <c r="I8" i="7"/>
  <c r="H13" i="7"/>
  <c r="D15" i="7"/>
  <c r="D37" i="7"/>
  <c r="H40" i="7"/>
  <c r="J41" i="7"/>
  <c r="J43" i="7"/>
  <c r="D48" i="7"/>
  <c r="K49" i="7"/>
  <c r="I51" i="7"/>
  <c r="C53" i="7"/>
  <c r="C57" i="7"/>
  <c r="H62" i="7"/>
  <c r="H65" i="7"/>
  <c r="K66" i="7"/>
  <c r="G73" i="7"/>
  <c r="K76" i="7"/>
  <c r="D78" i="7"/>
  <c r="G84" i="7"/>
  <c r="F86" i="7"/>
  <c r="C88" i="7"/>
  <c r="G89" i="7"/>
  <c r="J90" i="7"/>
  <c r="E37" i="7"/>
  <c r="I40" i="7"/>
  <c r="K41" i="7"/>
  <c r="K43" i="7"/>
  <c r="E48" i="7"/>
  <c r="J51" i="7"/>
  <c r="D53" i="7"/>
  <c r="D57" i="7"/>
  <c r="I65" i="7"/>
  <c r="C72" i="7"/>
  <c r="H73" i="7"/>
  <c r="E78" i="7"/>
  <c r="C81" i="7"/>
  <c r="J84" i="7"/>
  <c r="G86" i="7"/>
  <c r="D88" i="7"/>
  <c r="H89" i="7"/>
  <c r="K90" i="7"/>
  <c r="J40" i="7"/>
  <c r="E53" i="7"/>
  <c r="K73" i="7"/>
  <c r="F78" i="7"/>
  <c r="I89" i="7"/>
  <c r="C63" i="7"/>
  <c r="K65" i="7"/>
  <c r="G78" i="7"/>
  <c r="J89" i="7"/>
  <c r="C36" i="7"/>
  <c r="E42" i="7"/>
  <c r="D52" i="7"/>
  <c r="G53" i="7"/>
  <c r="F63" i="7"/>
  <c r="H78" i="7"/>
  <c r="K89" i="7"/>
  <c r="K40" i="7"/>
  <c r="I16" i="7"/>
  <c r="I14" i="7"/>
  <c r="D36" i="7"/>
  <c r="K37" i="7"/>
  <c r="C41" i="7"/>
  <c r="F42" i="7"/>
  <c r="C45" i="7"/>
  <c r="H50" i="7"/>
  <c r="F52" i="7"/>
  <c r="H53" i="7"/>
  <c r="G63" i="7"/>
  <c r="D66" i="7"/>
  <c r="K68" i="7"/>
  <c r="C76" i="7"/>
  <c r="I78" i="7"/>
  <c r="I9" i="7"/>
  <c r="F12" i="7"/>
  <c r="E36" i="7"/>
  <c r="G42" i="7"/>
  <c r="G52" i="7"/>
  <c r="I53" i="7"/>
  <c r="H63" i="7"/>
  <c r="J78" i="7"/>
  <c r="K78" i="7"/>
  <c r="G85" i="7"/>
  <c r="G87" i="7"/>
  <c r="E90" i="7"/>
  <c r="I12" i="7"/>
  <c r="G36" i="7"/>
  <c r="F38" i="7"/>
  <c r="C40" i="7"/>
  <c r="F41" i="7"/>
  <c r="I42" i="7"/>
  <c r="E49" i="7"/>
  <c r="C51" i="7"/>
  <c r="I52" i="7"/>
  <c r="K55" i="7"/>
  <c r="E60" i="7"/>
  <c r="J63" i="7"/>
  <c r="D65" i="7"/>
  <c r="G66" i="7"/>
  <c r="D69" i="7"/>
  <c r="C73" i="7"/>
  <c r="F90" i="7"/>
  <c r="D8" i="7"/>
  <c r="K36" i="7"/>
  <c r="G38" i="7"/>
  <c r="D40" i="7"/>
  <c r="G41" i="7"/>
  <c r="J42" i="7"/>
  <c r="F49" i="7"/>
  <c r="F51" i="7"/>
  <c r="J52" i="7"/>
  <c r="F60" i="7"/>
  <c r="E62" i="7"/>
  <c r="E65" i="7"/>
  <c r="H66" i="7"/>
  <c r="D73" i="7"/>
  <c r="H76" i="7"/>
  <c r="J79" i="7"/>
  <c r="D84" i="7"/>
  <c r="K85" i="7"/>
  <c r="I87" i="7"/>
  <c r="D89" i="7"/>
  <c r="G90" i="7"/>
  <c r="H38" i="7"/>
  <c r="F40" i="7"/>
  <c r="K42" i="7"/>
  <c r="G51" i="7"/>
  <c r="K52" i="7"/>
  <c r="I66" i="7"/>
  <c r="E73" i="7"/>
  <c r="J87" i="7"/>
  <c r="E89" i="7"/>
  <c r="H90" i="7"/>
  <c r="I13" i="7"/>
  <c r="I10" i="7"/>
  <c r="F13" i="7"/>
  <c r="I15" i="7"/>
  <c r="G40" i="7"/>
  <c r="H51" i="7"/>
  <c r="F73" i="7"/>
  <c r="I90" i="7"/>
  <c r="C35" i="7"/>
  <c r="C47" i="7"/>
  <c r="C59" i="7"/>
  <c r="C71" i="7"/>
  <c r="K79" i="7"/>
  <c r="C83" i="7"/>
  <c r="K91" i="7"/>
  <c r="D35" i="7"/>
  <c r="C46" i="7"/>
  <c r="D47" i="7"/>
  <c r="C58" i="7"/>
  <c r="D59" i="7"/>
  <c r="C70" i="7"/>
  <c r="D71" i="7"/>
  <c r="C82" i="7"/>
  <c r="D83" i="7"/>
  <c r="D94" i="7"/>
  <c r="H8" i="7"/>
  <c r="H14" i="7"/>
  <c r="F35" i="7"/>
  <c r="C44" i="7"/>
  <c r="E58" i="7"/>
  <c r="F59" i="7"/>
  <c r="E70" i="7"/>
  <c r="F71" i="7"/>
  <c r="C80" i="7"/>
  <c r="G35" i="7"/>
  <c r="H36" i="7"/>
  <c r="I37" i="7"/>
  <c r="J38" i="7"/>
  <c r="K39" i="7"/>
  <c r="C43" i="7"/>
  <c r="D44" i="7"/>
  <c r="E45" i="7"/>
  <c r="F46" i="7"/>
  <c r="G47" i="7"/>
  <c r="H48" i="7"/>
  <c r="I49" i="7"/>
  <c r="J50" i="7"/>
  <c r="K51" i="7"/>
  <c r="C55" i="7"/>
  <c r="D56" i="7"/>
  <c r="E57" i="7"/>
  <c r="F58" i="7"/>
  <c r="G59" i="7"/>
  <c r="H60" i="7"/>
  <c r="I61" i="7"/>
  <c r="J62" i="7"/>
  <c r="K63" i="7"/>
  <c r="C67" i="7"/>
  <c r="D68" i="7"/>
  <c r="E69" i="7"/>
  <c r="F70" i="7"/>
  <c r="G71" i="7"/>
  <c r="H72" i="7"/>
  <c r="I73" i="7"/>
  <c r="J74" i="7"/>
  <c r="K75" i="7"/>
  <c r="C79" i="7"/>
  <c r="D80" i="7"/>
  <c r="E81" i="7"/>
  <c r="F82" i="7"/>
  <c r="G83" i="7"/>
  <c r="H84" i="7"/>
  <c r="I85" i="7"/>
  <c r="J86" i="7"/>
  <c r="K87" i="7"/>
  <c r="C91" i="7"/>
  <c r="D92" i="7"/>
  <c r="E93" i="7"/>
  <c r="F94" i="7"/>
  <c r="E46" i="7"/>
  <c r="F47" i="7"/>
  <c r="C56" i="7"/>
  <c r="C68" i="7"/>
  <c r="F83" i="7"/>
  <c r="C92" i="7"/>
  <c r="H35" i="7"/>
  <c r="I36" i="7"/>
  <c r="K38" i="7"/>
  <c r="D43" i="7"/>
  <c r="E44" i="7"/>
  <c r="F45" i="7"/>
  <c r="G46" i="7"/>
  <c r="H47" i="7"/>
  <c r="I48" i="7"/>
  <c r="K50" i="7"/>
  <c r="D55" i="7"/>
  <c r="E56" i="7"/>
  <c r="F57" i="7"/>
  <c r="G58" i="7"/>
  <c r="H59" i="7"/>
  <c r="I60" i="7"/>
  <c r="K62" i="7"/>
  <c r="D67" i="7"/>
  <c r="E68" i="7"/>
  <c r="F69" i="7"/>
  <c r="G70" i="7"/>
  <c r="H71" i="7"/>
  <c r="I72" i="7"/>
  <c r="K74" i="7"/>
  <c r="D79" i="7"/>
  <c r="E80" i="7"/>
  <c r="F81" i="7"/>
  <c r="G82" i="7"/>
  <c r="H83" i="7"/>
  <c r="J85" i="7"/>
  <c r="K86" i="7"/>
  <c r="D91" i="7"/>
  <c r="E92" i="7"/>
  <c r="F93" i="7"/>
  <c r="G94" i="7"/>
  <c r="E83" i="7"/>
  <c r="I35" i="7"/>
  <c r="E43" i="7"/>
  <c r="F44" i="7"/>
  <c r="G45" i="7"/>
  <c r="H46" i="7"/>
  <c r="I47" i="7"/>
  <c r="E55" i="7"/>
  <c r="F56" i="7"/>
  <c r="G57" i="7"/>
  <c r="H58" i="7"/>
  <c r="I59" i="7"/>
  <c r="E67" i="7"/>
  <c r="F68" i="7"/>
  <c r="G69" i="7"/>
  <c r="H70" i="7"/>
  <c r="I71" i="7"/>
  <c r="E79" i="7"/>
  <c r="F80" i="7"/>
  <c r="G81" i="7"/>
  <c r="H82" i="7"/>
  <c r="I83" i="7"/>
  <c r="E91" i="7"/>
  <c r="F92" i="7"/>
  <c r="G93" i="7"/>
  <c r="H94" i="7"/>
  <c r="J35" i="7"/>
  <c r="F43" i="7"/>
  <c r="G44" i="7"/>
  <c r="H45" i="7"/>
  <c r="I46" i="7"/>
  <c r="J47" i="7"/>
  <c r="F55" i="7"/>
  <c r="G56" i="7"/>
  <c r="H57" i="7"/>
  <c r="I58" i="7"/>
  <c r="J59" i="7"/>
  <c r="F67" i="7"/>
  <c r="G68" i="7"/>
  <c r="H69" i="7"/>
  <c r="I70" i="7"/>
  <c r="J71" i="7"/>
  <c r="F79" i="7"/>
  <c r="G80" i="7"/>
  <c r="H81" i="7"/>
  <c r="I82" i="7"/>
  <c r="J83" i="7"/>
  <c r="F91" i="7"/>
  <c r="G92" i="7"/>
  <c r="H93" i="7"/>
  <c r="I94" i="7"/>
  <c r="E35" i="7"/>
  <c r="F10" i="7"/>
  <c r="I11" i="7"/>
  <c r="K35" i="7"/>
  <c r="G43" i="7"/>
  <c r="H44" i="7"/>
  <c r="I45" i="7"/>
  <c r="J46" i="7"/>
  <c r="K47" i="7"/>
  <c r="G55" i="7"/>
  <c r="H56" i="7"/>
  <c r="I57" i="7"/>
  <c r="J58" i="7"/>
  <c r="K59" i="7"/>
  <c r="G67" i="7"/>
  <c r="H68" i="7"/>
  <c r="I69" i="7"/>
  <c r="J70" i="7"/>
  <c r="K71" i="7"/>
  <c r="G79" i="7"/>
  <c r="H80" i="7"/>
  <c r="I81" i="7"/>
  <c r="J82" i="7"/>
  <c r="K83" i="7"/>
  <c r="G91" i="7"/>
  <c r="H92" i="7"/>
  <c r="I93" i="7"/>
  <c r="J94" i="7"/>
  <c r="F16" i="7"/>
  <c r="C38" i="7"/>
  <c r="D39" i="7"/>
  <c r="H43" i="7"/>
  <c r="I44" i="7"/>
  <c r="J45" i="7"/>
  <c r="K46" i="7"/>
  <c r="C50" i="7"/>
  <c r="D51" i="7"/>
  <c r="H55" i="7"/>
  <c r="I56" i="7"/>
  <c r="J57" i="7"/>
  <c r="K58" i="7"/>
  <c r="C62" i="7"/>
  <c r="D63" i="7"/>
  <c r="H67" i="7"/>
  <c r="I68" i="7"/>
  <c r="J69" i="7"/>
  <c r="K70" i="7"/>
  <c r="C74" i="7"/>
  <c r="D75" i="7"/>
  <c r="H79" i="7"/>
  <c r="I80" i="7"/>
  <c r="J81" i="7"/>
  <c r="K82" i="7"/>
  <c r="C86" i="7"/>
  <c r="D87" i="7"/>
  <c r="E88" i="7"/>
  <c r="H91" i="7"/>
  <c r="I92" i="7"/>
  <c r="J93" i="7"/>
  <c r="K94" i="7"/>
  <c r="L14" i="7" l="1"/>
  <c r="L9" i="7"/>
  <c r="K16" i="7"/>
  <c r="K10" i="7"/>
  <c r="K13" i="7"/>
  <c r="L11" i="7"/>
  <c r="K12" i="7"/>
  <c r="L12" i="7"/>
  <c r="L61" i="7"/>
  <c r="L42" i="7"/>
  <c r="L74" i="7"/>
  <c r="L53" i="7"/>
  <c r="L84" i="7"/>
  <c r="L37" i="7"/>
  <c r="L75" i="7"/>
  <c r="L87" i="7"/>
  <c r="L64" i="7"/>
  <c r="L39" i="7"/>
  <c r="L76" i="7"/>
  <c r="L77" i="7"/>
  <c r="L40" i="7"/>
  <c r="L88" i="7"/>
  <c r="L54" i="7"/>
  <c r="L8" i="7"/>
  <c r="L15" i="7"/>
  <c r="K15" i="7"/>
  <c r="L48" i="7"/>
  <c r="L52" i="7"/>
  <c r="L83" i="7"/>
  <c r="L85" i="7"/>
  <c r="L41" i="7"/>
  <c r="L80" i="7"/>
  <c r="L82" i="7"/>
  <c r="L79" i="7"/>
  <c r="L71" i="7"/>
  <c r="L70" i="7"/>
  <c r="L35" i="7"/>
  <c r="L90" i="7"/>
  <c r="L66" i="7"/>
  <c r="L45" i="7"/>
  <c r="L51" i="7"/>
  <c r="L67" i="7"/>
  <c r="L62" i="7"/>
  <c r="L94" i="7"/>
  <c r="L50" i="7"/>
  <c r="L36" i="7"/>
  <c r="L68" i="7"/>
  <c r="L81" i="7"/>
  <c r="L63" i="7"/>
  <c r="L49" i="7"/>
  <c r="L89" i="7"/>
  <c r="L91" i="7"/>
  <c r="L38" i="7"/>
  <c r="L60" i="7"/>
  <c r="L46" i="7"/>
  <c r="K8" i="7"/>
  <c r="L65" i="7"/>
  <c r="L44" i="7"/>
  <c r="L55" i="7"/>
  <c r="L73" i="7"/>
  <c r="L78" i="7"/>
  <c r="L92" i="7"/>
  <c r="L59" i="7"/>
  <c r="L43" i="7"/>
  <c r="L47" i="7"/>
  <c r="L56" i="7"/>
  <c r="L86" i="7"/>
  <c r="L72" i="7"/>
  <c r="L58" i="7"/>
  <c r="L93" i="7"/>
  <c r="L57" i="7"/>
  <c r="L6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tc={4909E1DA-D04D-459F-A755-C874E2A2376C}</author>
    <author>tc={C5EACC81-0278-4BD6-BE1C-328BE6CEF044}</author>
    <author>tc={07A9C90F-C4AF-4058-8369-82DC7D82B304}</author>
    <author>tc={33379761-7408-47CA-A73F-96920D166F6F}</author>
    <author>tc={DA888406-B3C3-47EB-94C0-AD38A44E0A0E}</author>
    <author>tc={AB292E73-2881-46CA-A2EC-13F131DCF115}</author>
    <author>tc={469532B5-891A-4F4C-925C-AFAB7020C3BF}</author>
    <author>tc={4F4D565E-CBAD-4B43-8202-B4F4327A7F61}</author>
    <author>tc={7492BF5A-A8EA-4806-BFAF-95DE22CE85C5}</author>
    <author>tc={EBC3B04C-562F-4E8D-B1E3-F992E17EAF0F}</author>
  </authors>
  <commentList>
    <comment ref="J9" authorId="0" shapeId="0" xr:uid="{4909E1DA-D04D-459F-A755-C874E2A237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S9" authorId="1" shapeId="0" xr:uid="{C5EACC81-0278-4BD6-BE1C-328BE6CEF0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T9" authorId="2" shapeId="0" xr:uid="{07A9C90F-C4AF-4058-8369-82DC7D82B3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U9" authorId="3" shapeId="0" xr:uid="{33379761-7408-47CA-A73F-96920D166F6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AA9" authorId="4" shapeId="0" xr:uid="{DA888406-B3C3-47EB-94C0-AD38A44E0A0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L9" authorId="5" shapeId="0" xr:uid="{AB292E73-2881-46CA-A2EC-13F131DCF1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R9" authorId="6" shapeId="0" xr:uid="{469532B5-891A-4F4C-925C-AFAB7020C3B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BD9" authorId="7" shapeId="0" xr:uid="{4F4D565E-CBAD-4B43-8202-B4F4327A7F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BQ9" authorId="8" shapeId="0" xr:uid="{7492BF5A-A8EA-4806-BFAF-95DE22CE85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AD10" authorId="9" shapeId="0" xr:uid="{EBC3B04C-562F-4E8D-B1E3-F992E17EAF0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tc={28C15EAC-0944-4075-BA74-FBE4EECE24C1}</author>
    <author>tc={4A809DB3-6ACE-4F2C-859F-ECEC3B017E42}</author>
  </authors>
  <commentList>
    <comment ref="R9" authorId="0" shapeId="0" xr:uid="{28C15EAC-0944-4075-BA74-FBE4EECE24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AD9" authorId="1" shapeId="0" xr:uid="{4A809DB3-6ACE-4F2C-859F-ECEC3B017E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tc={AB1486C7-AA92-4748-891B-886743035FDC}</author>
    <author>tc={5E2A0871-3C6A-43AF-B856-9A20F44C0E24}</author>
    <author>tc={D2E187A2-AF3B-4B43-AD8A-5A22A99E567B}</author>
    <author>tc={ED914BC0-A9AD-4460-B4AD-64B21C38754F}</author>
    <author>tc={AC196D12-BAF7-4D77-BB76-8DDDB1D1AAED}</author>
    <author>tc={B5416B51-2416-4442-87A8-60557435D0C6}</author>
    <author>tc={AF20519C-A4E1-4A0C-9814-C243E278D15B}</author>
    <author>tc={6A140D46-EDD4-4F6C-AA4F-2CBC120DF7BC}</author>
    <author>tc={1D6AE7E6-0283-49B1-9DFE-C7D5B111CED2}</author>
    <author>tc={E74F1B1E-CE79-46D3-807A-5DC12A7AF859}</author>
    <author>tc={AA67B0D4-AF29-4510-BBF9-3D69C706909F}</author>
    <author>tc={E23E8F9A-23D4-451D-B6DF-68EA924C4E68}</author>
    <author>tc={0C99F784-E3FA-43BC-809B-1404E6FC59EA}</author>
  </authors>
  <commentList>
    <comment ref="J9" authorId="0" shapeId="0" xr:uid="{AB1486C7-AA92-4748-891B-886743035F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R9" authorId="1" shapeId="0" xr:uid="{5E2A0871-3C6A-43AF-B856-9A20F44C0E2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9" authorId="2" shapeId="0" xr:uid="{D2E187A2-AF3B-4B43-AD8A-5A22A99E56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9" authorId="3" shapeId="0" xr:uid="{ED914BC0-A9AD-4460-B4AD-64B21C38754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V9" authorId="4" shapeId="0" xr:uid="{AC196D12-BAF7-4D77-BB76-8DDDB1D1AA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C9" authorId="5" shapeId="0" xr:uid="{B5416B51-2416-4442-87A8-60557435D0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I9" authorId="6" shapeId="0" xr:uid="{AF20519C-A4E1-4A0C-9814-C243E278D15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AO9" authorId="7" shapeId="0" xr:uid="{6A140D46-EDD4-4F6C-AA4F-2CBC120DF7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AS9" authorId="8" shapeId="0" xr:uid="{1D6AE7E6-0283-49B1-9DFE-C7D5B111CE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R10" authorId="9" shapeId="0" xr:uid="{E74F1B1E-CE79-46D3-807A-5DC12A7AF8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10" authorId="10" shapeId="0" xr:uid="{AA67B0D4-AF29-4510-BBF9-3D69C70690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10" authorId="11" shapeId="0" xr:uid="{E23E8F9A-23D4-451D-B6DF-68EA924C4E6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Y10" authorId="12" shapeId="0" xr:uid="{0C99F784-E3FA-43BC-809B-1404E6FC59E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tc={3D8D95EC-E3AE-4A32-8BE6-752AA4DE3B2A}</author>
    <author>tc={6CD20443-83D8-4BD3-A822-701BF3EC7215}</author>
  </authors>
  <commentList>
    <comment ref="C3" authorId="0" shapeId="0" xr:uid="{3D8D95EC-E3AE-4A32-8BE6-752AA4DE3B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B14" authorId="1" shapeId="0" xr:uid="{6CD20443-83D8-4BD3-A822-701BF3EC72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tc={243354BE-D8F0-45DF-A6E5-F55CAC4D8EC2}</author>
  </authors>
  <commentList>
    <comment ref="B4" authorId="0" shapeId="0" xr:uid="{243354BE-D8F0-45DF-A6E5-F55CAC4D8E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<sst xmlns="http://schemas.openxmlformats.org/spreadsheetml/2006/main" count="4748" uniqueCount="562">
  <si>
    <t>RC</t>
  </si>
  <si>
    <t>Control Maestro  ·  Reforma Curricular</t>
  </si>
  <si>
    <t>📅 13 marzo 2026</t>
  </si>
  <si>
    <t>Todas las facultades</t>
  </si>
  <si>
    <t>Facultad de Sociedad, Cultura y Creatividad</t>
  </si>
  <si>
    <t>🔽  FILTRAR</t>
  </si>
  <si>
    <t>Híbrido</t>
  </si>
  <si>
    <t>Facultad de Negocios, Gestión y Sostenibilidad</t>
  </si>
  <si>
    <t>Todos los periodos</t>
  </si>
  <si>
    <t>✕ Limpiar: seleccione 'Todas las...' en cada filtro</t>
  </si>
  <si>
    <t>Facultad de Ingeniería, Diseño e Innovación</t>
  </si>
  <si>
    <t>RESUMEN GENERAL</t>
  </si>
  <si>
    <t>Vicerrectoría Académica — Etapas según hoja Estructura</t>
  </si>
  <si>
    <t>Ya está en oferta</t>
  </si>
  <si>
    <t>2026-2</t>
  </si>
  <si>
    <t>2027-1</t>
  </si>
  <si>
    <t>2027-2</t>
  </si>
  <si>
    <t>AVANCE POR ETAPA  —  8 procesos según hoja Estructura  ·  60 programas</t>
  </si>
  <si>
    <t>GESTIÓN ACADÉMICA</t>
  </si>
  <si>
    <t>GESTIÓN FINANCIERA</t>
  </si>
  <si>
    <t>ASEGURAMIENTO CALIDAD</t>
  </si>
  <si>
    <t>GER. PLANEACIÓN</t>
  </si>
  <si>
    <t>PRODUCCIÓN CONTENIDOS</t>
  </si>
  <si>
    <t>CONVENIOS INSTITUCIONALES</t>
  </si>
  <si>
    <t>PARAMETRIZAR BANNER</t>
  </si>
  <si>
    <t>PUBLICACIÓN WEB</t>
  </si>
  <si>
    <t>ESTADO POR ETAPA</t>
  </si>
  <si>
    <t>AVANCE POR FACULTAD Y PROGRAMA</t>
  </si>
  <si>
    <t>PROCESO</t>
  </si>
  <si>
    <t>FINALIZ.</t>
  </si>
  <si>
    <t>EN PROC.</t>
  </si>
  <si>
    <t>SIN INIC.</t>
  </si>
  <si>
    <t>TOTAL</t>
  </si>
  <si>
    <t>FACULTAD / PROGRAMA</t>
  </si>
  <si>
    <t>AVANCE</t>
  </si>
  <si>
    <t>PROGRESO</t>
  </si>
  <si>
    <t>G. Académica</t>
  </si>
  <si>
    <t>◆ Soc. Cultura y Creatividad</t>
  </si>
  <si>
    <t>███░░░░░</t>
  </si>
  <si>
    <t>G. Financiera</t>
  </si>
  <si>
    <t>Lic. Ciencias Sociales</t>
  </si>
  <si>
    <t>██████░░</t>
  </si>
  <si>
    <t>Aseg. Calidad</t>
  </si>
  <si>
    <t>Maest. Ger. Talento Humano</t>
  </si>
  <si>
    <t>█████░░░</t>
  </si>
  <si>
    <t>Ger. Planeación</t>
  </si>
  <si>
    <t>Comunicación Social</t>
  </si>
  <si>
    <t>████░░░░</t>
  </si>
  <si>
    <t>Prod. Contenidos</t>
  </si>
  <si>
    <t>Tec. Mercadeo y Publicidad</t>
  </si>
  <si>
    <t>Convenios</t>
  </si>
  <si>
    <t>Espec. Ger. Mercadeo</t>
  </si>
  <si>
    <t>Param. Banner</t>
  </si>
  <si>
    <t>Técnica Prof. Judicial</t>
  </si>
  <si>
    <t>Pub. Web</t>
  </si>
  <si>
    <t>Maest. Ger. Estratégica</t>
  </si>
  <si>
    <t>Mercadeo y Publicidad</t>
  </si>
  <si>
    <t>◆ Ing. Diseño e Innovación</t>
  </si>
  <si>
    <t>██░░░░░░</t>
  </si>
  <si>
    <t>Maest. Educación STEM</t>
  </si>
  <si>
    <t>Espec. Ger. Proy. BI</t>
  </si>
  <si>
    <t>Diseño Digital</t>
  </si>
  <si>
    <t>Lic. Educación Infantil</t>
  </si>
  <si>
    <t>Ing. Industrial Virtual</t>
  </si>
  <si>
    <t>Diseño Gráfico</t>
  </si>
  <si>
    <t>◆ Negocios, Gestión y Sost.</t>
  </si>
  <si>
    <t>Contaduría Pública Pres.</t>
  </si>
  <si>
    <t>Contaduría Pública Virt.</t>
  </si>
  <si>
    <t>Adm. Empresas Presencial</t>
  </si>
  <si>
    <t>Neg. Internacionales</t>
  </si>
  <si>
    <t>Adm. Pública Virtual</t>
  </si>
  <si>
    <t>DETALLE DE PROGRAMAS  —  25 de 60 programas mostrados  ·  ✔ = Finalizado  ◑ = En proceso  ○ = Sin iniciar</t>
  </si>
  <si>
    <t>PROGRAMA</t>
  </si>
  <si>
    <t>ESCUELA</t>
  </si>
  <si>
    <t>FACULTAD</t>
  </si>
  <si>
    <t>MODALIDAD</t>
  </si>
  <si>
    <t>NIVEL</t>
  </si>
  <si>
    <t>PERIODO</t>
  </si>
  <si>
    <t>G.ACAD</t>
  </si>
  <si>
    <t>G.FIN</t>
  </si>
  <si>
    <t>ASEG.C</t>
  </si>
  <si>
    <t>G.PLAN</t>
  </si>
  <si>
    <t>PROD.C</t>
  </si>
  <si>
    <t>CONV</t>
  </si>
  <si>
    <t>P.BAN</t>
  </si>
  <si>
    <t>P.WEB</t>
  </si>
  <si>
    <t>Educación</t>
  </si>
  <si>
    <t>Soc.Cult.</t>
  </si>
  <si>
    <t>Virtual</t>
  </si>
  <si>
    <t>Profesional</t>
  </si>
  <si>
    <t>✔</t>
  </si>
  <si>
    <t>○</t>
  </si>
  <si>
    <t>◑</t>
  </si>
  <si>
    <t>Maest. Ger. Talento Hum.</t>
  </si>
  <si>
    <t>Psicología</t>
  </si>
  <si>
    <t>Maestría</t>
  </si>
  <si>
    <t>Oferta</t>
  </si>
  <si>
    <t>Com.Artes</t>
  </si>
  <si>
    <t>Tec.Mercadeo y Publicidad</t>
  </si>
  <si>
    <t>Marketing</t>
  </si>
  <si>
    <t>Presencial</t>
  </si>
  <si>
    <t>Tecnológico</t>
  </si>
  <si>
    <t>Espec.Ger.Mercadeo Virtual</t>
  </si>
  <si>
    <t>Especialización</t>
  </si>
  <si>
    <t>Técnica Profesional Judicial</t>
  </si>
  <si>
    <t>Derecho</t>
  </si>
  <si>
    <t>Técnico</t>
  </si>
  <si>
    <t>Maest.Ger.Estratégica</t>
  </si>
  <si>
    <t>Mercadeo y Publicidad Bog</t>
  </si>
  <si>
    <t>Mercadeo y Publicidad Med</t>
  </si>
  <si>
    <t>Espec. Contratación Estatal</t>
  </si>
  <si>
    <t>Contaduría Pública Bog.</t>
  </si>
  <si>
    <t>Cont.Fin.</t>
  </si>
  <si>
    <t>Neg.Gest.</t>
  </si>
  <si>
    <t>Contaduría Pública Virtual</t>
  </si>
  <si>
    <t>Adm.Comp.</t>
  </si>
  <si>
    <t>Neg. Internacionales Virt.</t>
  </si>
  <si>
    <t>Neg.Desarr.</t>
  </si>
  <si>
    <t>Administración Pública</t>
  </si>
  <si>
    <t>Ciencias Bás.</t>
  </si>
  <si>
    <t>Ing.Dis.</t>
  </si>
  <si>
    <t>Opt.Infra.</t>
  </si>
  <si>
    <t>Lic.Ed.Básica Primaria</t>
  </si>
  <si>
    <t>Diseño</t>
  </si>
  <si>
    <t>Ingeniería de Software</t>
  </si>
  <si>
    <t>TIC</t>
  </si>
  <si>
    <t>Prof. Gestión SSL</t>
  </si>
  <si>
    <t>Derecho Virtual</t>
  </si>
  <si>
    <t>Adm. Empresas Híbrido</t>
  </si>
  <si>
    <t>Diseño Gráfico Presencial</t>
  </si>
  <si>
    <t>Psicología Virtual</t>
  </si>
  <si>
    <t>Psicología Presencial Bog.</t>
  </si>
  <si>
    <t>Psicología Presencial Med.</t>
  </si>
  <si>
    <t>Espec. Gest. Educativa</t>
  </si>
  <si>
    <t>LEYENDA:</t>
  </si>
  <si>
    <t>✔ Finalizado</t>
  </si>
  <si>
    <t>◑ En proceso</t>
  </si>
  <si>
    <t>○ Sin iniciar</t>
  </si>
  <si>
    <t>GA=Gest.Acad  GF=Gest.Fin  AC=Aseg.Calidad  GP=Ger.Plan  PC=Prod.Cont  CV=Convenios  PB=Par.Banner  W=Pub.Web</t>
  </si>
  <si>
    <t>RESUMEN EJECUTIVO — REFORMA CURRICULAR: ESTADO DE ETAPAS</t>
  </si>
  <si>
    <t>Leyenda:</t>
  </si>
  <si>
    <t xml:space="preserve">  ✔  Finalizado</t>
  </si>
  <si>
    <t xml:space="preserve">  ⚡  En proceso</t>
  </si>
  <si>
    <t xml:space="preserve">  ✖  Sin iniciar</t>
  </si>
  <si>
    <t xml:space="preserve">  ⏳  Con avance (X/6)</t>
  </si>
  <si>
    <t xml:space="preserve">  ✖  Sin avance (0/6)</t>
  </si>
  <si>
    <t xml:space="preserve">  1.   ESTADO GLOBAL POR ETAPA  (todos los programas)</t>
  </si>
  <si>
    <t>Etapa</t>
  </si>
  <si>
    <t>✔ Fin.</t>
  </si>
  <si>
    <t>% Fin.</t>
  </si>
  <si>
    <t>⚡ Proc.</t>
  </si>
  <si>
    <t>% Proc.</t>
  </si>
  <si>
    <t>✖ Sin.</t>
  </si>
  <si>
    <t>% Sin.</t>
  </si>
  <si>
    <t>Sin dato</t>
  </si>
  <si>
    <t>Barra de avance</t>
  </si>
  <si>
    <t>Estado</t>
  </si>
  <si>
    <t>PLAN DE VIRTUALIZACIÓN</t>
  </si>
  <si>
    <t>CONCEPTO FINANCIERO</t>
  </si>
  <si>
    <t>Acta de homologación</t>
  </si>
  <si>
    <t>% avance contenidos virtuales</t>
  </si>
  <si>
    <t>Ruta sugerida homologación/articulación convenio</t>
  </si>
  <si>
    <t>Aulas máster nueva</t>
  </si>
  <si>
    <t>Aulas máster actualizada</t>
  </si>
  <si>
    <t>Parametrizar y configurar actividades evaluativas</t>
  </si>
  <si>
    <t>Configurar plan de estudios en Banner por MODALIDAD</t>
  </si>
  <si>
    <t xml:space="preserve">  2.   ESTADO POR MODALIDAD</t>
  </si>
  <si>
    <t>✔Fin</t>
  </si>
  <si>
    <t>⚡Proc</t>
  </si>
  <si>
    <t>✖Sin</t>
  </si>
  <si>
    <t>Agregar la fase académica</t>
  </si>
  <si>
    <t>Plan Virtualización</t>
  </si>
  <si>
    <t>Concepto Financiero</t>
  </si>
  <si>
    <t>Acta Homologación</t>
  </si>
  <si>
    <t>% Avance contenidos</t>
  </si>
  <si>
    <t>Ruta Homologación</t>
  </si>
  <si>
    <t>Aulas máster actual.</t>
  </si>
  <si>
    <t>Conf. activid. eval.</t>
  </si>
  <si>
    <t>Banner por modalidad</t>
  </si>
  <si>
    <t xml:space="preserve">  3.   ESTADO POR PROGRAMA  —  ⏳ X/6 = tiene avance en X etapas     ✖ Pendiente = ninguna etapa iniciada (0/6)</t>
  </si>
  <si>
    <t>ℹ️ La columna SNIES es el identificador único. Todas las etapas se buscan por SNIES con XLOOKUP → el dashboard no se rompe si cambia el orden en la hoja Maestro.</t>
  </si>
  <si>
    <t>SNIES</t>
  </si>
  <si>
    <t>Programa</t>
  </si>
  <si>
    <t>Facultad</t>
  </si>
  <si>
    <t>Mod.</t>
  </si>
  <si>
    <t>Plan Virt.</t>
  </si>
  <si>
    <t>Concepto Fin.</t>
  </si>
  <si>
    <t>%  Avance</t>
  </si>
  <si>
    <t>Acta Homol.</t>
  </si>
  <si>
    <t>Aulas Nueva</t>
  </si>
  <si>
    <t>Banner</t>
  </si>
  <si>
    <t xml:space="preserve">CONTROL MAESTRO DE REFORMA CURRICULAR </t>
  </si>
  <si>
    <t>en proceso</t>
  </si>
  <si>
    <t>finalizado</t>
  </si>
  <si>
    <t>sin iniciar</t>
  </si>
  <si>
    <t xml:space="preserve">DIRECCIÓN DE CURRÍCULO 
VICERRECTORÍA ACADÉMICA </t>
  </si>
  <si>
    <t xml:space="preserve">DIRECCIÓN DE PLANEACIÓN FINANCIERA </t>
  </si>
  <si>
    <t xml:space="preserve">VICERRECTORÍA ACADÉMICA </t>
  </si>
  <si>
    <t>DIRECCIÓN DE ASEGURAMIENTO DE LA CALIDAD</t>
  </si>
  <si>
    <t>GERENCIA DE PLANEACIÓN Y GESTIÓN INSTITUCIONAL</t>
  </si>
  <si>
    <t xml:space="preserve">GERENCIA EDUCACIÓN VIRTUAL </t>
  </si>
  <si>
    <t xml:space="preserve">CONVENIOS INSTITUCIONALES </t>
  </si>
  <si>
    <t xml:space="preserve">GERENCIA DE OPERACIONES </t>
  </si>
  <si>
    <t xml:space="preserve">GERENCIA DE MERCADEO </t>
  </si>
  <si>
    <t>INFORMACIÓN GENERAL DE PROGRAMA</t>
  </si>
  <si>
    <t>Formato de proyecciones académicas y financieras</t>
  </si>
  <si>
    <t>CONCEPTO SECRETARIA ACADÉMICA Y DOCENCIA</t>
  </si>
  <si>
    <t xml:space="preserve">APROBACIÓN IMPLEMENTACIÓN </t>
  </si>
  <si>
    <t xml:space="preserve">FORMALIZACIÓN DE LA REFORMA/ASEGURAMIENTO   DE LA CALIDAD </t>
  </si>
  <si>
    <t xml:space="preserve">PRODUCCIÓN DE CONTENIDOS </t>
  </si>
  <si>
    <t xml:space="preserve">PARAMETRIZAR REFORMA  EN BANNER </t>
  </si>
  <si>
    <t>PUBLICACIÓN PROGRAMA EN PAGINA WEB</t>
  </si>
  <si>
    <t>FECHA DE CREACIÓN OFERTA</t>
  </si>
  <si>
    <t>FECHA INICIO MATRÍCULAS</t>
  </si>
  <si>
    <t xml:space="preserve">PERIODO DE IMPLEMENTACIÓN </t>
  </si>
  <si>
    <t xml:space="preserve">ESTADO GENERAL DE LA REFORMA </t>
  </si>
  <si>
    <t>12 FC aprobados vrs 3 programas para 20262.</t>
  </si>
  <si>
    <t xml:space="preserve">FACULTAD </t>
  </si>
  <si>
    <t xml:space="preserve">ESCUELA </t>
  </si>
  <si>
    <t>NOMBRE DEL PROGRAMA</t>
  </si>
  <si>
    <t xml:space="preserve">MODALIDAD </t>
  </si>
  <si>
    <t xml:space="preserve">NIVEL </t>
  </si>
  <si>
    <t>SEDE</t>
  </si>
  <si>
    <t xml:space="preserve">SNIES VIGENTE </t>
  </si>
  <si>
    <t>Formato creación de programas Banner</t>
  </si>
  <si>
    <t>Instrumento de verificación curricular</t>
  </si>
  <si>
    <t xml:space="preserve">LA REFORMA CUMPLE CON LA POLITICA CURRICULAR </t>
  </si>
  <si>
    <t>Formato RA
Escuelas</t>
  </si>
  <si>
    <t>Formato RA
Aseguramiento de la Calidad</t>
  </si>
  <si>
    <t>Acta de consejo de facultad</t>
  </si>
  <si>
    <t>SYLLABUS COMPLETOS</t>
  </si>
  <si>
    <t>Número de syllabus</t>
  </si>
  <si>
    <t xml:space="preserve">PLAN DE VIRTUALIZACIÓN </t>
  </si>
  <si>
    <t>APROBACIÓN IMPLEMENTACIÓN</t>
  </si>
  <si>
    <t xml:space="preserve">Tipo de trámite de aseguramiento de la calidad </t>
  </si>
  <si>
    <t>Estado del trámite</t>
  </si>
  <si>
    <t>Fecha de
Documentos de notificación MEN</t>
  </si>
  <si>
    <t xml:space="preserve">APROBACIÓN CONSEJO DE DELEGADOS 
# acta </t>
  </si>
  <si>
    <t>¿Requiere informarse al MEN previa implementación?</t>
  </si>
  <si>
    <t>¿Requiere aprobación ministerial?</t>
  </si>
  <si>
    <t>APROBACIÓN MINISTERIO DE EDUCACIÓN 
# resolución</t>
  </si>
  <si>
    <t>CORREO PARA IMPLEMENTACIÓN</t>
  </si>
  <si>
    <t>NÚMERO DE MÓDULOS NUEVOS</t>
  </si>
  <si>
    <t>NÚMERO DE MÓDULOS POR ACTUALIZAR</t>
  </si>
  <si>
    <t xml:space="preserve">TOTAL  MÓDULOS CON CAMBIOS </t>
  </si>
  <si>
    <t xml:space="preserve">FECHA INICIO </t>
  </si>
  <si>
    <t xml:space="preserve">FECHA FIN </t>
  </si>
  <si>
    <t xml:space="preserve">% avance </t>
  </si>
  <si>
    <t>Ruta sugerida programa homologación/articulación convenio</t>
  </si>
  <si>
    <t>Formato reconocimiento de competencias o resultados de aprendizaje para homologación</t>
  </si>
  <si>
    <t>Formato acta currículo articulación SENA</t>
  </si>
  <si>
    <t>Formato acta currículo homologación/convenios</t>
  </si>
  <si>
    <t>Aulas  máster nueva</t>
  </si>
  <si>
    <t>Total Aulas Master</t>
  </si>
  <si>
    <t>Avance de Aulas Master</t>
  </si>
  <si>
    <t>Configurar plan de estudios en Banner</t>
  </si>
  <si>
    <t>% de Avance</t>
  </si>
  <si>
    <t>Elaborar plan de estudios pdf</t>
  </si>
  <si>
    <t>Publicar plan de estudios en Web</t>
  </si>
  <si>
    <t xml:space="preserve">Planeación la formación a los equipos comerciales y de servicio </t>
  </si>
  <si>
    <t>Marketing y Branding</t>
  </si>
  <si>
    <t>Especialización en Gerencia de Mercadeo</t>
  </si>
  <si>
    <t>Nacional</t>
  </si>
  <si>
    <t>Comunicación, Artes Visuales y Digitales</t>
  </si>
  <si>
    <t>Comunicación Digital</t>
  </si>
  <si>
    <t>Medellín</t>
  </si>
  <si>
    <t>No aplica</t>
  </si>
  <si>
    <t>Finalizado</t>
  </si>
  <si>
    <t>Renovación de Registro Calificado</t>
  </si>
  <si>
    <t>Derecho y Gobierno</t>
  </si>
  <si>
    <t>Si</t>
  </si>
  <si>
    <t>Devuelto</t>
  </si>
  <si>
    <t>Modificación de Registro Calificado</t>
  </si>
  <si>
    <t>Oferta en 2027-1
Cambio de modalidad híbrida por Comité de Portafolio</t>
  </si>
  <si>
    <t>Diseño Industrial</t>
  </si>
  <si>
    <t>Bogotá</t>
  </si>
  <si>
    <t>Pendiente radicar notificación de reforma en cuanto se cuente con RC.</t>
  </si>
  <si>
    <t>Diseño Interactivo</t>
  </si>
  <si>
    <t>Optimización Infraestructura y Automatización</t>
  </si>
  <si>
    <t>Tecnología en Logística</t>
  </si>
  <si>
    <t xml:space="preserve">Tecnologías de la Información y las Comunicaciones </t>
  </si>
  <si>
    <t>Ingeniería de Sistemas</t>
  </si>
  <si>
    <t>30/09/2025
27/10/2025</t>
  </si>
  <si>
    <t>Ingeniería Industrial</t>
  </si>
  <si>
    <t>Ciencias Básicas</t>
  </si>
  <si>
    <t>Matemáticas</t>
  </si>
  <si>
    <t>Ingeniería en Telecomunicaciones</t>
  </si>
  <si>
    <t>Contabilidad y Finanzas Globales</t>
  </si>
  <si>
    <t>Contaduría Pública</t>
  </si>
  <si>
    <t>Negocios y Desarrollo Internacional</t>
  </si>
  <si>
    <t>Negocios Internacionales</t>
  </si>
  <si>
    <t>NO</t>
  </si>
  <si>
    <t>Comunicación Social - Periodismo</t>
  </si>
  <si>
    <t>Educación e Innovación</t>
  </si>
  <si>
    <t>Licenciatura en Educación Básica Primaria</t>
  </si>
  <si>
    <t>Licenciatura en Educación Infantil</t>
  </si>
  <si>
    <t>30/11/2025
05/12/2025</t>
  </si>
  <si>
    <t>Tecnología en Desarrollo de Software</t>
  </si>
  <si>
    <t>Administración y Competitividad</t>
  </si>
  <si>
    <t>Tecnología en Gestión Ambiental</t>
  </si>
  <si>
    <t>30/11/2025
12/12/2025</t>
  </si>
  <si>
    <t>Administración de Empresas</t>
  </si>
  <si>
    <t>30/11/2025
15/12/2025</t>
  </si>
  <si>
    <t>Estudios en Psicología, Talento Humano y Sociedad</t>
  </si>
  <si>
    <t>Profesional en Gestión de la Seguridad y la Salud Laboral</t>
  </si>
  <si>
    <t>Maestría en Gerencia Estratégica de Mercadeo*</t>
  </si>
  <si>
    <t>Diseño de Modas</t>
  </si>
  <si>
    <t>Especialización en Gestión Educativa</t>
  </si>
  <si>
    <t>Especialización en Gerencia de Riesgos y Seguros</t>
  </si>
  <si>
    <t>30/02/2026</t>
  </si>
  <si>
    <t>Tecnología en Guianza Turística</t>
  </si>
  <si>
    <t>Tecnología en Mercadeo y Publicidad</t>
  </si>
  <si>
    <t>Administración en Agronegocios</t>
  </si>
  <si>
    <t>Tecnología en Gestión de Servicios para Aerolíneas</t>
  </si>
  <si>
    <t>Maestría en Educación STEM</t>
  </si>
  <si>
    <t>ok</t>
  </si>
  <si>
    <t>Especialización en Gerencia de Proyectos en Inteligencia de Negocios</t>
  </si>
  <si>
    <t>Especialización en Logística y Gestión de la Cadena de Abastecimiento</t>
  </si>
  <si>
    <t>Especialización en Gerencia Tributaria</t>
  </si>
  <si>
    <t>Administración Hotelera y Gastronómica</t>
  </si>
  <si>
    <t>Maestría en Contratación Estatal</t>
  </si>
  <si>
    <t>Licenciatura en Ciencias Sociales</t>
  </si>
  <si>
    <t>Maestría en Gerencia del Talento Humano</t>
  </si>
  <si>
    <t>Especialización en Gerencia de Finanzas</t>
  </si>
  <si>
    <t>Especialización en Contratación Estatal y Negocios Jurídicos de la Administración</t>
  </si>
  <si>
    <t>Maestría en Innovación Educativa</t>
  </si>
  <si>
    <t>¿El plan de estudios es único y equivalente (MEN = Reforma)</t>
  </si>
  <si>
    <t>Marzo-Abril 2026</t>
  </si>
  <si>
    <t>Mayo</t>
  </si>
  <si>
    <t>Abril</t>
  </si>
  <si>
    <t>6, 25%</t>
  </si>
  <si>
    <t>Junio</t>
  </si>
  <si>
    <t>Este código pertenece a la sede bogoá presencial 91360</t>
  </si>
  <si>
    <t>Abril* Urgente informar al MEN</t>
  </si>
  <si>
    <t>Gestión académica</t>
  </si>
  <si>
    <t>Gestión Financiera</t>
  </si>
  <si>
    <t>Gestión Aseguramiento de la Calidad</t>
  </si>
  <si>
    <t>PRODUCCIÓN DE CONTENIDOS</t>
  </si>
  <si>
    <t>PARAMETRIZAR REFORMA  EN BANNER</t>
  </si>
  <si>
    <t>Filtros por modalidad</t>
  </si>
  <si>
    <t>Estatus por facultad</t>
  </si>
  <si>
    <t>Filtro por periodo de implementación</t>
  </si>
  <si>
    <t>Proceso</t>
  </si>
  <si>
    <t>Formato creación de programas banner</t>
  </si>
  <si>
    <t xml:space="preserve">La reforma cumple con la politica curricular </t>
  </si>
  <si>
    <t>Gestión financiera</t>
  </si>
  <si>
    <t>Concepto financiero</t>
  </si>
  <si>
    <t>Gestión aseguramiento de la calidad</t>
  </si>
  <si>
    <t>Gerencia de planeación y gestión institucional</t>
  </si>
  <si>
    <t>Correo para implementación</t>
  </si>
  <si>
    <t>Producción de contenidos</t>
  </si>
  <si>
    <t xml:space="preserve">Total  módulos con cambios </t>
  </si>
  <si>
    <t>Convenios institucionales</t>
  </si>
  <si>
    <t>Parametrizar reforma  en banner</t>
  </si>
  <si>
    <t>Total aulas master</t>
  </si>
  <si>
    <t>Avance de aulas master</t>
  </si>
  <si>
    <t>% de avance</t>
  </si>
  <si>
    <t>Configurar plan de estudios en banner</t>
  </si>
  <si>
    <t>Publicación programa en pagina web</t>
  </si>
  <si>
    <t>Publicar plan de estudios en web</t>
  </si>
  <si>
    <t xml:space="preserve">Fecha fin </t>
  </si>
  <si>
    <t xml:space="preserve">Periodo de implementación </t>
  </si>
  <si>
    <t>Todas las modalidades</t>
  </si>
  <si>
    <t xml:space="preserve">DISEÑO CURRICULAR </t>
  </si>
  <si>
    <t xml:space="preserve">Actas /formato de homologación- convenios- articulación </t>
  </si>
  <si>
    <t>En proceso</t>
  </si>
  <si>
    <t>Sin Iniciar</t>
  </si>
  <si>
    <t xml:space="preserve">Entregado por aseguramiento </t>
  </si>
  <si>
    <t>COMPARTIDAS /INSTITUCIONAL-</t>
  </si>
  <si>
    <t>DIRECCIÓN FINANCIERA</t>
  </si>
  <si>
    <t xml:space="preserve">Parametrizar programas dentro del sistema Banner </t>
  </si>
  <si>
    <t>Actualizar Actas de articulación y homologación</t>
  </si>
  <si>
    <t>Actualizar Rutas Sugeridas por programa</t>
  </si>
  <si>
    <t>Actualizar Reconocimiento de competencias</t>
  </si>
  <si>
    <t xml:space="preserve">Parametrización Banner </t>
  </si>
  <si>
    <t xml:space="preserve">Formato maestro de convenios </t>
  </si>
  <si>
    <t xml:space="preserve">Gestionar firmas del acta de homologaciones </t>
  </si>
  <si>
    <t xml:space="preserve">Parametrización en Banner </t>
  </si>
  <si>
    <t>Diligenciar los perfiles, competencias y resultados de aprendizaje</t>
  </si>
  <si>
    <t xml:space="preserve">Carga de contenidos en CANVAS </t>
  </si>
  <si>
    <t>Diligenciar Plan de estudios diligenciado por las Escuelas en el formato Institucional</t>
  </si>
  <si>
    <t xml:space="preserve">Elaborar de Syllabus por programa </t>
  </si>
  <si>
    <t xml:space="preserve">Syllabus de programa </t>
  </si>
  <si>
    <t>PDF</t>
  </si>
  <si>
    <t>Piezas de comunicación</t>
  </si>
  <si>
    <t xml:space="preserve">Syllabus Completos </t>
  </si>
  <si>
    <t>Aprobar aulas Máster</t>
  </si>
  <si>
    <t xml:space="preserve">Informe de Validación de técnica con formato Banner </t>
  </si>
  <si>
    <t>Creación de programas Banner</t>
  </si>
  <si>
    <t xml:space="preserve">Actualizar maestro de convenios </t>
  </si>
  <si>
    <t xml:space="preserve">Parametrizar  convenios y homologaciones en registro y control </t>
  </si>
  <si>
    <t xml:space="preserve">Parametrizar del convenio con atributo desde Matricula en Banner </t>
  </si>
  <si>
    <t>Implementar campaña de comunicación del nuevo programa</t>
  </si>
  <si>
    <t>Socializar el plan de estudios (PDF)- preliminar</t>
  </si>
  <si>
    <t>Elaborar  planes de transición</t>
  </si>
  <si>
    <t>Plan de Transición</t>
  </si>
  <si>
    <t>Generar estudio de viabilidad financiera por plan de estudios</t>
  </si>
  <si>
    <t>Generar estudio de viabilidad Docente por plan de estudios</t>
  </si>
  <si>
    <t xml:space="preserve">Producción del Contenido </t>
  </si>
  <si>
    <t xml:space="preserve">Syllabus aprobado </t>
  </si>
  <si>
    <t xml:space="preserve">Autor aprobado </t>
  </si>
  <si>
    <t>Gestionar la virtualización de módulos de acuerdo al alcance</t>
  </si>
  <si>
    <t>SECRETARÍA ACADÉMICA Y DE DOCENCIA</t>
  </si>
  <si>
    <t>CONVENIOS Y HOMOLOGACIONES</t>
  </si>
  <si>
    <t>Vo Bo PPT</t>
  </si>
  <si>
    <t xml:space="preserve">Aprobar los syllabus de cada programa por los decanos </t>
  </si>
  <si>
    <t xml:space="preserve">Avance alistamiento curricular </t>
  </si>
  <si>
    <t xml:space="preserve">Cronograma de trámites frente al MEN </t>
  </si>
  <si>
    <t>Validar que el plan de estudios de reforma es equivalente al presentado al MEN</t>
  </si>
  <si>
    <t xml:space="preserve">Validar tipo de trámite de aseguramiento de la calidad </t>
  </si>
  <si>
    <t>AREAS INVOLUCRADAS</t>
  </si>
  <si>
    <t xml:space="preserve">DIRECCIÓN DE CURRÍCULO </t>
  </si>
  <si>
    <t xml:space="preserve">GERENCIA DE OPERACIONES VIRTUAL </t>
  </si>
  <si>
    <t>GERENCIA DE OPERACIONES ACADEMICAS</t>
  </si>
  <si>
    <t>GERENCIA DE OPERACIONES ACADEMICAS-BANNER</t>
  </si>
  <si>
    <t xml:space="preserve">ALISTAMIENTO CURRICULAR  </t>
  </si>
  <si>
    <t xml:space="preserve">ESCUELAS/ DECANATURA </t>
  </si>
  <si>
    <t xml:space="preserve">DESARRLLO CURRICULAR </t>
  </si>
  <si>
    <t>DIRECCIÓN DE MERCADO</t>
  </si>
  <si>
    <t xml:space="preserve">IMPLEMENTACIÓN CURRICULAR </t>
  </si>
  <si>
    <t>validar el estado del tramite</t>
  </si>
  <si>
    <t>Revisar el Syllabus para producción de contenido</t>
  </si>
  <si>
    <t xml:space="preserve">Revisar que se tenga autor asignado </t>
  </si>
  <si>
    <t>Crear y Actualizar configuración de aulas Master</t>
  </si>
  <si>
    <t xml:space="preserve">Avance Desarrollo curricular </t>
  </si>
  <si>
    <t xml:space="preserve">Avance Diseño curricular </t>
  </si>
  <si>
    <t>Avance general de reforma por programa</t>
  </si>
  <si>
    <t xml:space="preserve">Avance Implementación curricular </t>
  </si>
  <si>
    <t>CHECKLIST DE VERIFICACIÓN — REFORMA CURRICULAR</t>
  </si>
  <si>
    <t>Vicerrectoría Académica  ·  8 fases del proceso  ·  Complete estado, responsable y fechas por ítem</t>
  </si>
  <si>
    <t>#</t>
  </si>
  <si>
    <t>Fase</t>
  </si>
  <si>
    <t>Ítem de verificación</t>
  </si>
  <si>
    <t>Orientación / Descripción</t>
  </si>
  <si>
    <t>Responsable</t>
  </si>
  <si>
    <t>Fecha límite</t>
  </si>
  <si>
    <t>Fecha cumplimiento</t>
  </si>
  <si>
    <t>Observaciones</t>
  </si>
  <si>
    <t xml:space="preserve">  GA  ·  GESTIÓN ACADÉMICA   —   Dirección de Currículo · Vicerrectoría Académica</t>
  </si>
  <si>
    <t>GA</t>
  </si>
  <si>
    <t>Formato de creación de programas en Banner</t>
  </si>
  <si>
    <t>Diligenciar y cargar el formato oficial con datos del programa</t>
  </si>
  <si>
    <t>Completar la lista de chequeo de la política curricular institucional</t>
  </si>
  <si>
    <t>La reforma cumple con la política curricular</t>
  </si>
  <si>
    <t>Validar el cumplimiento con la Dirección de Currículo</t>
  </si>
  <si>
    <t>Formato RA – Escuelas</t>
  </si>
  <si>
    <t>Registrar resultados de aprendizaje por escuela</t>
  </si>
  <si>
    <t>Formato RA – Aseguramiento de la Calidad</t>
  </si>
  <si>
    <t>Validar resultados de aprendizaje con Aseguramiento de Calidad</t>
  </si>
  <si>
    <t>Acta de Consejo de Facultad</t>
  </si>
  <si>
    <t>Obtener el acta de aprobación de la reforma por el Consejo de Facultad</t>
  </si>
  <si>
    <t>Syllabus completos</t>
  </si>
  <si>
    <t>Entregar el total de syllabus ajustados a la nueva estructura curricular</t>
  </si>
  <si>
    <t xml:space="preserve">  GF  ·  GESTIÓN FINANCIERA   —   Dirección de Planeación Financiera</t>
  </si>
  <si>
    <t>GF</t>
  </si>
  <si>
    <t>Diligenciar proyecciones de matrícula, costos y viabilidad financiera</t>
  </si>
  <si>
    <t>Concepto Secretaría Académica y Docencia</t>
  </si>
  <si>
    <t>Obtener concepto favorable sobre la carga docente y oferta</t>
  </si>
  <si>
    <t>Recibir concepto aprobatorio de Planeación Financiera</t>
  </si>
  <si>
    <t>Aprobación de implementación</t>
  </si>
  <si>
    <t>Confirmar la autorización formal para ejecutar la reforma</t>
  </si>
  <si>
    <t xml:space="preserve">  AC  ·  ASEGURAMIENTO DE LA CALIDAD   —   Dirección de Aseguramiento de la Calidad</t>
  </si>
  <si>
    <t>AC</t>
  </si>
  <si>
    <t>Tipo de trámite de aseguramiento de la calidad</t>
  </si>
  <si>
    <t>Definir si aplica Modificación o Renovación de Registro Calificado</t>
  </si>
  <si>
    <t>Estado del trámite ante el MEN</t>
  </si>
  <si>
    <t>Registrar y actualizar el estado: en elaboración, radicado, en evaluación, aprobado</t>
  </si>
  <si>
    <t>Estado de radicación de la reforma</t>
  </si>
  <si>
    <t>Confirmar radicación ante el Ministerio de Educación Nacional</t>
  </si>
  <si>
    <t>Fecha de documentos / notificación MEN</t>
  </si>
  <si>
    <t>Registrar la fecha de entrega o notificación oficial al MEN</t>
  </si>
  <si>
    <t>Aprobación Consejo de Delegados (# acta)</t>
  </si>
  <si>
    <t>Obtener y registrar el número de acta de aprobación</t>
  </si>
  <si>
    <t>Verificar obligatoriedad de notificación previa</t>
  </si>
  <si>
    <t>Determinar si se necesita resolución del MEN para implementar</t>
  </si>
  <si>
    <t>Aprobación Ministerio de Educación (# resolución)</t>
  </si>
  <si>
    <t>Registrar número de resolución cuando aplique</t>
  </si>
  <si>
    <t>Enviar comunicación formal de arranque de la reforma</t>
  </si>
  <si>
    <t xml:space="preserve">  GP  ·  GERENCIA DE PLANEACIÓN Y GESTIÓN INSTITUCIONAL   —   Gerencia de Planeación</t>
  </si>
  <si>
    <t>GP</t>
  </si>
  <si>
    <t>Plan de virtualización</t>
  </si>
  <si>
    <t>Entregar el plan aprobado según modalidad del programa (virtual/híbrido)</t>
  </si>
  <si>
    <t>Formalizar el acta de reconocimiento de saberes previos para transición</t>
  </si>
  <si>
    <t>Ruta sugerida homologación / articulación por convenio</t>
  </si>
  <si>
    <t xml:space="preserve">  PC  ·  PRODUCCIÓN DE CONTENIDOS   —   Gerencia de Educación Virtual</t>
  </si>
  <si>
    <t>PC</t>
  </si>
  <si>
    <t>Número de módulos nuevos</t>
  </si>
  <si>
    <t>Registrar la cantidad de módulos completamente nuevos a producir</t>
  </si>
  <si>
    <t>Número de módulos por actualizar</t>
  </si>
  <si>
    <t>Registrar módulos existentes que requieren ajuste</t>
  </si>
  <si>
    <t>Total módulos con cambios</t>
  </si>
  <si>
    <t>Calcular y validar el total (nuevos + actualizados)</t>
  </si>
  <si>
    <t>Fecha inicio producción de contenidos</t>
  </si>
  <si>
    <t>Definir fecha de arranque formal del proceso de producción</t>
  </si>
  <si>
    <t>Fecha fin producción de contenidos</t>
  </si>
  <si>
    <t>Establecer la fecha límite de entrega de contenidos</t>
  </si>
  <si>
    <t>% de avance en contenidos virtuales</t>
  </si>
  <si>
    <t>Registrar el porcentaje de avance y actualizarlo periódicamente</t>
  </si>
  <si>
    <t>Aulas máster nueva creadas</t>
  </si>
  <si>
    <t>Confirmar la creación de aulas nuevas en el LMS</t>
  </si>
  <si>
    <t>Aulas máster actualizadas</t>
  </si>
  <si>
    <t>Confirmar la actualización de aulas existentes en el LMS</t>
  </si>
  <si>
    <t>Configurar las actividades de evaluación según el nuevo plan</t>
  </si>
  <si>
    <t xml:space="preserve">  CV  ·  CONVENIOS INSTITUCIONALES   —   Convenios Institucionales</t>
  </si>
  <si>
    <t>CV</t>
  </si>
  <si>
    <t>Formato acta currículo – articulación SENA</t>
  </si>
  <si>
    <t>Diligenciar acta de articulación cuando aplique convenio SENA</t>
  </si>
  <si>
    <t>Formato acta currículo – homologación / convenios</t>
  </si>
  <si>
    <t>Formalizar acuerdos de homologación con instituciones aliadas</t>
  </si>
  <si>
    <t>Formato reconocimiento de competencias o RA para homologación</t>
  </si>
  <si>
    <t>Mapear competencias reconocidas en el proceso de homologación</t>
  </si>
  <si>
    <t>Fecha inicio gestión de convenios</t>
  </si>
  <si>
    <t>Registrar el inicio del proceso de negociación o actualización</t>
  </si>
  <si>
    <t>Fecha fin gestión de convenios</t>
  </si>
  <si>
    <t>Registrar el cierre o formalización de los convenios</t>
  </si>
  <si>
    <t>% avance gestión de convenios</t>
  </si>
  <si>
    <t>Actualizar el porcentaje de avance periódicamente</t>
  </si>
  <si>
    <t xml:space="preserve">  PB  ·  PARAMETRIZAR REFORMA EN BANNER   —   Gerencia de Operaciones / TI</t>
  </si>
  <si>
    <t>PB</t>
  </si>
  <si>
    <t>Configurar plan de estudios en Banner por modalidad</t>
  </si>
  <si>
    <t>Ingresar estructura curricular (asignaturas, créditos, períodos) en Banner</t>
  </si>
  <si>
    <t>Verificar consistencia modalidad vs. configuración Banner</t>
  </si>
  <si>
    <t>Cruzar la configuración con el plan aprobado por modalidad</t>
  </si>
  <si>
    <t xml:space="preserve">  PW  ·  PUBLICACIÓN WEB   —   Comunicaciones / Marketing Digital</t>
  </si>
  <si>
    <t>PW</t>
  </si>
  <si>
    <t>Actualizar información del programa en el sitio web</t>
  </si>
  <si>
    <t>Publicar malla curricular, perfiles de egreso y datos actualizados</t>
  </si>
  <si>
    <t>Verificar coherencia entre información web y aprobada</t>
  </si>
  <si>
    <t>Confrontar la web con los documentos de registro calificado vigente</t>
  </si>
  <si>
    <t>Coordinar con Marketing la actualización de piezas promocionales</t>
  </si>
  <si>
    <t>Alinear materiales de divulgación con la nueva estructura</t>
  </si>
  <si>
    <t>Definir la ruta de homologación o articulación con Convenios</t>
  </si>
  <si>
    <t xml:space="preserve">Lista de programas </t>
  </si>
  <si>
    <t xml:space="preserve">contaduria </t>
  </si>
  <si>
    <t xml:space="preserve">modalidad </t>
  </si>
  <si>
    <t xml:space="preserve">virtual </t>
  </si>
  <si>
    <t xml:space="preserve">sede </t>
  </si>
  <si>
    <t xml:space="preserve">Verificación curricular </t>
  </si>
  <si>
    <t>Formato RA</t>
  </si>
  <si>
    <t xml:space="preserve">Plan de virtualización </t>
  </si>
  <si>
    <t xml:space="preserve">FASES DE LA REFORMA CURRICULAR </t>
  </si>
  <si>
    <t xml:space="preserve"> Formato de proyecciones académicas y financieras </t>
  </si>
  <si>
    <t xml:space="preserve">5.Formato de proyecciones académicas y financieras </t>
  </si>
  <si>
    <t xml:space="preserve">Vo Bo de academia </t>
  </si>
  <si>
    <t xml:space="preserve">Bono de currículo y Vice académica/decanatura </t>
  </si>
  <si>
    <t>Ruta sugerida programa homologación apli articulación convenio</t>
  </si>
  <si>
    <t xml:space="preserve">Diligenciar ACTAS, formatos de competencias y rutas de homologación </t>
  </si>
  <si>
    <t>Aprobar reforma académica</t>
  </si>
  <si>
    <t xml:space="preserve">Revirar plan de estudios en el formato Institucional de cara a la política y lineamientos curriculares -Propuesta del plan de estudios </t>
  </si>
  <si>
    <t xml:space="preserve">Validar instrumento de verificación curricular </t>
  </si>
  <si>
    <t>Diligenciar el plan de Impacto del reforzamiento en la capacidad financiera del Sistema de Educación Virtual</t>
  </si>
  <si>
    <t xml:space="preserve">Diligenciar formatos de proyecciones académicas y financieras. 
Impacto en docencia </t>
  </si>
  <si>
    <t xml:space="preserve">Generar el cierre de validación técnico, revisando los parámetros de cada materias. </t>
  </si>
  <si>
    <t>Publicar plan de estudios (PDF) en la página WEB</t>
  </si>
  <si>
    <t>Bobo de facultad del PDF</t>
  </si>
  <si>
    <t>INFORMACIÓN DE PROGRAMAS</t>
  </si>
  <si>
    <t>% de Avance Alistamiento Curricular</t>
  </si>
  <si>
    <t>PERIODO DE IMPLEMENTACIÓN</t>
  </si>
  <si>
    <t>% de Avance  Desarroollo Curricular</t>
  </si>
  <si>
    <t xml:space="preserve">% de Avance Implementación curricular </t>
  </si>
  <si>
    <t>% de Avance general de reforma por programa</t>
  </si>
  <si>
    <t>% de Avance Diseño curricular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</si>
</sst>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8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9"/>
      <color rgb="FF000000"/>
      <name val="Nunito Sans"/>
    </font>
    <font>
      <sz val="11"/>
      <color theme="1"/>
      <name val="Aptos Narrow"/>
      <family val="2"/>
      <scheme val="minor"/>
    </font>
    <font>
      <sz val="11"/>
      <name val="Nunito Sans"/>
    </font>
    <font>
      <sz val="11"/>
      <color rgb="FF0070C0"/>
      <name val="Nunito Sans"/>
    </font>
    <font>
      <sz val="11"/>
      <color rgb="FFFF0000"/>
      <name val="Nunito Sans"/>
    </font>
    <font>
      <b/>
      <sz val="11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10"/>
      <color rgb="FF375623"/>
      <name val="Aptos Narrow"/>
      <family val="2"/>
      <scheme val="minor"/>
    </font>
    <font>
      <sz val="10"/>
      <color rgb="FF7F60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b/>
      <sz val="10"/>
      <color rgb="FF9C0006"/>
      <name val="Aptos Narrow"/>
      <family val="2"/>
      <scheme val="minor"/>
    </font>
    <font>
      <i/>
      <sz val="8"/>
      <color rgb="FF595959"/>
      <name val="Aptos Narrow"/>
      <family val="2"/>
      <scheme val="minor"/>
    </font>
    <font>
      <sz val="8"/>
      <color rgb="FFBFBFB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2563EB"/>
      <name val="Aptos Narrow"/>
      <family val="2"/>
      <scheme val="minor"/>
    </font>
    <font>
      <b/>
      <sz val="12"/>
      <color rgb="FF2563EB"/>
      <name val="Aptos Narrow"/>
      <family val="2"/>
      <scheme val="minor"/>
    </font>
    <font>
      <sz val="10"/>
      <color rgb="FF64748B"/>
      <name val="Aptos Narrow"/>
      <family val="2"/>
      <scheme val="minor"/>
    </font>
    <font>
      <b/>
      <sz val="9"/>
      <color rgb="FF64748B"/>
      <name val="Aptos Narrow"/>
      <family val="2"/>
      <scheme val="minor"/>
    </font>
    <font>
      <b/>
      <sz val="16"/>
      <color rgb="FFA5B4FC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rgb="FFCBD5E1"/>
      <name val="Aptos Narrow"/>
      <family val="2"/>
      <scheme val="minor"/>
    </font>
    <font>
      <b/>
      <sz val="11"/>
      <color rgb="FF16A34A"/>
      <name val="Aptos Narrow"/>
      <family val="2"/>
      <scheme val="minor"/>
    </font>
    <font>
      <b/>
      <sz val="11"/>
      <color rgb="FFDC2626"/>
      <name val="Aptos Narrow"/>
      <family val="2"/>
      <scheme val="minor"/>
    </font>
    <font>
      <b/>
      <sz val="20"/>
      <color rgb="FF16A34A"/>
      <name val="Aptos Narrow"/>
      <family val="2"/>
      <scheme val="minor"/>
    </font>
    <font>
      <sz val="9"/>
      <color rgb="FF16A34A"/>
      <name val="Aptos Narrow"/>
      <family val="2"/>
      <scheme val="minor"/>
    </font>
    <font>
      <sz val="9"/>
      <color rgb="FF475569"/>
      <name val="Aptos Narrow"/>
      <family val="2"/>
      <scheme val="minor"/>
    </font>
    <font>
      <b/>
      <sz val="20"/>
      <color rgb="FFDC2626"/>
      <name val="Aptos Narrow"/>
      <family val="2"/>
      <scheme val="minor"/>
    </font>
    <font>
      <sz val="9"/>
      <color rgb="FFDC2626"/>
      <name val="Aptos Narrow"/>
      <family val="2"/>
      <scheme val="minor"/>
    </font>
    <font>
      <b/>
      <sz val="10"/>
      <color rgb="FF2563EB"/>
      <name val="Aptos Narrow"/>
      <family val="2"/>
      <scheme val="minor"/>
    </font>
    <font>
      <b/>
      <sz val="10"/>
      <color rgb="FFD97706"/>
      <name val="Aptos Narrow"/>
      <family val="2"/>
      <scheme val="minor"/>
    </font>
    <font>
      <b/>
      <sz val="10"/>
      <color rgb="FF7C3AED"/>
      <name val="Aptos Narrow"/>
      <family val="2"/>
      <scheme val="minor"/>
    </font>
    <font>
      <b/>
      <sz val="10"/>
      <color rgb="FF16A34A"/>
      <name val="Aptos Narrow"/>
      <family val="2"/>
      <scheme val="minor"/>
    </font>
    <font>
      <b/>
      <sz val="10"/>
      <color rgb="FF0891B2"/>
      <name val="Aptos Narrow"/>
      <family val="2"/>
      <scheme val="minor"/>
    </font>
    <font>
      <b/>
      <sz val="10"/>
      <color rgb="FFDC2626"/>
      <name val="Aptos Narrow"/>
      <family val="2"/>
      <scheme val="minor"/>
    </font>
    <font>
      <b/>
      <sz val="10"/>
      <color rgb="FF78716C"/>
      <name val="Aptos Narrow"/>
      <family val="2"/>
      <scheme val="minor"/>
    </font>
    <font>
      <b/>
      <sz val="10"/>
      <color rgb="FFBE185D"/>
      <name val="Aptos Narrow"/>
      <family val="2"/>
      <scheme val="minor"/>
    </font>
    <font>
      <b/>
      <sz val="9"/>
      <color rgb="FF2563EB"/>
      <name val="Aptos Narrow"/>
      <family val="2"/>
      <scheme val="minor"/>
    </font>
    <font>
      <sz val="8"/>
      <color rgb="FF16A34A"/>
      <name val="Aptos Narrow"/>
      <family val="2"/>
      <scheme val="minor"/>
    </font>
    <font>
      <b/>
      <sz val="9"/>
      <color rgb="FFD97706"/>
      <name val="Aptos Narrow"/>
      <family val="2"/>
      <scheme val="minor"/>
    </font>
    <font>
      <sz val="8"/>
      <color rgb="FFDC2626"/>
      <name val="Aptos Narrow"/>
      <family val="2"/>
      <scheme val="minor"/>
    </font>
    <font>
      <b/>
      <sz val="9"/>
      <color rgb="FF7C3AED"/>
      <name val="Aptos Narrow"/>
      <family val="2"/>
      <scheme val="minor"/>
    </font>
    <font>
      <b/>
      <sz val="9"/>
      <color rgb="FF16A34A"/>
      <name val="Aptos Narrow"/>
      <family val="2"/>
      <scheme val="minor"/>
    </font>
    <font>
      <b/>
      <sz val="9"/>
      <color rgb="FF0891B2"/>
      <name val="Aptos Narrow"/>
      <family val="2"/>
      <scheme val="minor"/>
    </font>
    <font>
      <b/>
      <sz val="9"/>
      <color rgb="FFDC2626"/>
      <name val="Aptos Narrow"/>
      <family val="2"/>
      <scheme val="minor"/>
    </font>
    <font>
      <b/>
      <sz val="9"/>
      <color rgb="FF78716C"/>
      <name val="Aptos Narrow"/>
      <family val="2"/>
      <scheme val="minor"/>
    </font>
    <font>
      <b/>
      <sz val="9"/>
      <color rgb="FFBE185D"/>
      <name val="Aptos Narrow"/>
      <family val="2"/>
      <scheme val="minor"/>
    </font>
    <font>
      <sz val="9"/>
      <color rgb="FFD97706"/>
      <name val="Aptos Narrow"/>
      <family val="2"/>
      <scheme val="minor"/>
    </font>
    <font>
      <sz val="11"/>
      <color rgb="FF1E293B"/>
      <name val="Aptos Narrow"/>
      <family val="2"/>
      <scheme val="minor"/>
    </font>
    <font>
      <b/>
      <sz val="9"/>
      <color rgb="FF1E293B"/>
      <name val="Aptos Narrow"/>
      <family val="2"/>
      <scheme val="minor"/>
    </font>
    <font>
      <sz val="8"/>
      <color rgb="FF64748B"/>
      <name val="Aptos Narrow"/>
      <family val="2"/>
      <scheme val="minor"/>
    </font>
    <font>
      <sz val="8"/>
      <color rgb="FF475569"/>
      <name val="Aptos Narrow"/>
      <family val="2"/>
      <scheme val="minor"/>
    </font>
    <font>
      <i/>
      <sz val="8"/>
      <color rgb="FF64748B"/>
      <name val="Aptos Narrow"/>
      <family val="2"/>
      <scheme val="minor"/>
    </font>
    <font>
      <b/>
      <sz val="20"/>
      <color rgb="FFD97706"/>
      <name val="Aptos Narrow"/>
      <family val="2"/>
      <scheme val="minor"/>
    </font>
    <font>
      <b/>
      <sz val="10"/>
      <color rgb="FF1E293B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64748B"/>
      <name val="Aptos Narrow"/>
      <family val="2"/>
      <scheme val="minor"/>
    </font>
    <font>
      <sz val="14"/>
      <color rgb="FF1E293B"/>
      <name val="Aptos Narrow"/>
      <family val="2"/>
      <scheme val="minor"/>
    </font>
    <font>
      <i/>
      <sz val="14"/>
      <color rgb="FF94A3B8"/>
      <name val="Aptos Narrow"/>
      <family val="2"/>
      <scheme val="minor"/>
    </font>
    <font>
      <sz val="14"/>
      <color rgb="FFCBD5E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444444"/>
      <name val="Arial"/>
      <family val="2"/>
    </font>
    <font>
      <b/>
      <sz val="10"/>
      <color rgb="FFFFFFFF"/>
      <name val="Arial"/>
      <family val="2"/>
    </font>
    <font>
      <sz val="9"/>
      <color rgb="FF2C2C2A"/>
      <name val="Arial"/>
      <family val="2"/>
    </font>
    <font>
      <b/>
      <sz val="9"/>
      <color rgb="FF2C2C2A"/>
      <name val="Arial"/>
      <family val="2"/>
    </font>
    <font>
      <sz val="9"/>
      <color rgb="FF1D3557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CE0B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D3557"/>
        <bgColor rgb="FF2C2C2A"/>
      </patternFill>
    </fill>
    <fill>
      <patternFill patternType="solid">
        <fgColor rgb="FFF0F4F8"/>
        <bgColor rgb="FFEEEDFE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378ADD"/>
        <bgColor rgb="FF1D9E75"/>
      </patternFill>
    </fill>
    <fill>
      <patternFill patternType="solid">
        <fgColor rgb="FFE6F1FB"/>
        <bgColor rgb="FFEEEDFE"/>
      </patternFill>
    </fill>
    <fill>
      <patternFill patternType="solid">
        <fgColor rgb="FF7F77DD"/>
        <bgColor rgb="FF9999FF"/>
      </patternFill>
    </fill>
    <fill>
      <patternFill patternType="solid">
        <fgColor rgb="FFEEEDFE"/>
        <bgColor rgb="FFE6F1FB"/>
      </patternFill>
    </fill>
    <fill>
      <patternFill patternType="solid">
        <fgColor rgb="FFD85A30"/>
        <bgColor rgb="FFBA7517"/>
      </patternFill>
    </fill>
    <fill>
      <patternFill patternType="solid">
        <fgColor rgb="FFFAECE7"/>
        <bgColor rgb="FFFBEAF0"/>
      </patternFill>
    </fill>
    <fill>
      <patternFill patternType="solid">
        <fgColor rgb="FFBA7517"/>
        <bgColor rgb="FFD85A30"/>
      </patternFill>
    </fill>
    <fill>
      <patternFill patternType="solid">
        <fgColor rgb="FFFAEEDA"/>
        <bgColor rgb="FFFAECE7"/>
      </patternFill>
    </fill>
    <fill>
      <patternFill patternType="solid">
        <fgColor rgb="FF0F6E56"/>
        <bgColor rgb="FF008080"/>
      </patternFill>
    </fill>
    <fill>
      <patternFill patternType="solid">
        <fgColor rgb="FF533FAF"/>
        <bgColor rgb="FF444444"/>
      </patternFill>
    </fill>
    <fill>
      <patternFill patternType="solid">
        <fgColor rgb="FF993556"/>
        <bgColor rgb="FF993366"/>
      </patternFill>
    </fill>
    <fill>
      <patternFill patternType="solid">
        <fgColor rgb="FFFBEAF0"/>
        <bgColor rgb="FFFAECE7"/>
      </patternFill>
    </fill>
    <fill>
      <patternFill patternType="solid">
        <fgColor rgb="FF7030A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 style="thin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1D3557"/>
      </left>
      <right style="thin">
        <color rgb="FF1D3557"/>
      </right>
      <top style="thin">
        <color rgb="FF1D3557"/>
      </top>
      <bottom style="thin">
        <color rgb="FF1D3557"/>
      </bottom>
      <diagonal/>
    </border>
    <border>
      <left style="thin">
        <color rgb="FF1D9E75"/>
      </left>
      <right/>
      <top style="thin">
        <color rgb="FF1D9E75"/>
      </top>
      <bottom style="thin">
        <color rgb="FF1D9E75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78ADD"/>
      </left>
      <right/>
      <top style="thin">
        <color rgb="FF378ADD"/>
      </top>
      <bottom style="thin">
        <color rgb="FF378ADD"/>
      </bottom>
      <diagonal/>
    </border>
    <border>
      <left style="thin">
        <color rgb="FF7F77DD"/>
      </left>
      <right/>
      <top style="thin">
        <color rgb="FF7F77DD"/>
      </top>
      <bottom style="thin">
        <color rgb="FF7F77DD"/>
      </bottom>
      <diagonal/>
    </border>
    <border>
      <left style="thin">
        <color rgb="FFD85A30"/>
      </left>
      <right/>
      <top style="thin">
        <color rgb="FFD85A30"/>
      </top>
      <bottom style="thin">
        <color rgb="FFD85A30"/>
      </bottom>
      <diagonal/>
    </border>
    <border>
      <left style="thin">
        <color rgb="FFBA7517"/>
      </left>
      <right/>
      <top style="thin">
        <color rgb="FFBA7517"/>
      </top>
      <bottom style="thin">
        <color rgb="FFBA7517"/>
      </bottom>
      <diagonal/>
    </border>
    <border>
      <left style="thin">
        <color rgb="FF0F6E56"/>
      </left>
      <right/>
      <top style="thin">
        <color rgb="FF0F6E56"/>
      </top>
      <bottom style="thin">
        <color rgb="FF0F6E56"/>
      </bottom>
      <diagonal/>
    </border>
    <border>
      <left style="thin">
        <color rgb="FF533FAF"/>
      </left>
      <right/>
      <top style="thin">
        <color rgb="FF533FAF"/>
      </top>
      <bottom style="thin">
        <color rgb="FF533FAF"/>
      </bottom>
      <diagonal/>
    </border>
    <border>
      <left style="thin">
        <color rgb="FF993556"/>
      </left>
      <right/>
      <top style="thin">
        <color rgb="FF993556"/>
      </top>
      <bottom style="thin">
        <color rgb="FF993556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9" fontId="8" fillId="0" borderId="0" applyFont="0" applyFill="0" applyBorder="0" applyAlignment="0" applyProtection="0"/>
    <xf numFmtId="0" fontId="81" fillId="0" borderId="0"/>
  </cellStyleXfs>
  <cellXfs count="43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7" fillId="0" borderId="1" xfId="0" applyNumberFormat="1" applyFont="1" applyBorder="1" applyAlignment="1">
      <alignment horizontal="center" vertical="center" readingOrder="1"/>
    </xf>
    <xf numFmtId="0" fontId="1" fillId="4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 wrapText="1"/>
    </xf>
    <xf numFmtId="0" fontId="9" fillId="11" borderId="1" xfId="1" applyFont="1" applyFill="1" applyBorder="1" applyAlignment="1">
      <alignment vertical="center" wrapText="1"/>
    </xf>
    <xf numFmtId="0" fontId="9" fillId="12" borderId="1" xfId="1" applyFont="1" applyFill="1" applyBorder="1" applyAlignment="1">
      <alignment vertical="center" wrapText="1"/>
    </xf>
    <xf numFmtId="0" fontId="9" fillId="15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0" fillId="16" borderId="1" xfId="1" applyFont="1" applyFill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9" fillId="16" borderId="1" xfId="1" applyFont="1" applyFill="1" applyBorder="1" applyAlignment="1">
      <alignment vertical="center" wrapText="1"/>
    </xf>
    <xf numFmtId="0" fontId="11" fillId="16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11" fillId="9" borderId="1" xfId="1" applyFont="1" applyFill="1" applyBorder="1" applyAlignment="1">
      <alignment vertical="center" wrapText="1"/>
    </xf>
    <xf numFmtId="0" fontId="11" fillId="11" borderId="1" xfId="1" applyFont="1" applyFill="1" applyBorder="1" applyAlignment="1">
      <alignment vertical="center" wrapText="1"/>
    </xf>
    <xf numFmtId="0" fontId="9" fillId="9" borderId="1" xfId="1" applyFont="1" applyFill="1" applyBorder="1" applyAlignment="1">
      <alignment vertical="center"/>
    </xf>
    <xf numFmtId="0" fontId="9" fillId="17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/>
    </xf>
    <xf numFmtId="0" fontId="9" fillId="11" borderId="1" xfId="1" applyFont="1" applyFill="1" applyBorder="1" applyAlignment="1">
      <alignment vertical="center"/>
    </xf>
    <xf numFmtId="14" fontId="9" fillId="9" borderId="1" xfId="1" applyNumberFormat="1" applyFont="1" applyFill="1" applyBorder="1" applyAlignment="1">
      <alignment horizontal="center" vertical="center" wrapText="1"/>
    </xf>
    <xf numFmtId="14" fontId="9" fillId="9" borderId="1" xfId="1" applyNumberFormat="1" applyFont="1" applyFill="1" applyBorder="1" applyAlignment="1">
      <alignment horizontal="center" vertical="center"/>
    </xf>
    <xf numFmtId="14" fontId="9" fillId="16" borderId="1" xfId="1" applyNumberFormat="1" applyFont="1" applyFill="1" applyBorder="1" applyAlignment="1">
      <alignment horizontal="center" vertical="center" wrapText="1"/>
    </xf>
    <xf numFmtId="14" fontId="9" fillId="16" borderId="1" xfId="1" applyNumberFormat="1" applyFont="1" applyFill="1" applyBorder="1" applyAlignment="1">
      <alignment horizontal="center" vertical="center"/>
    </xf>
    <xf numFmtId="14" fontId="9" fillId="10" borderId="1" xfId="1" applyNumberFormat="1" applyFont="1" applyFill="1" applyBorder="1" applyAlignment="1">
      <alignment horizontal="center" vertical="center" wrapText="1"/>
    </xf>
    <xf numFmtId="14" fontId="9" fillId="10" borderId="1" xfId="1" applyNumberFormat="1" applyFont="1" applyFill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 wrapText="1"/>
    </xf>
    <xf numFmtId="14" fontId="9" fillId="0" borderId="1" xfId="1" applyNumberFormat="1" applyFont="1" applyBorder="1" applyAlignment="1">
      <alignment horizontal="center" vertical="center"/>
    </xf>
    <xf numFmtId="14" fontId="9" fillId="11" borderId="1" xfId="1" applyNumberFormat="1" applyFont="1" applyFill="1" applyBorder="1" applyAlignment="1">
      <alignment horizontal="center" vertical="center" wrapText="1"/>
    </xf>
    <xf numFmtId="14" fontId="9" fillId="11" borderId="1" xfId="1" applyNumberFormat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/>
    </xf>
    <xf numFmtId="14" fontId="9" fillId="0" borderId="6" xfId="1" applyNumberFormat="1" applyFont="1" applyBorder="1" applyAlignment="1">
      <alignment horizontal="center" vertical="center" wrapText="1"/>
    </xf>
    <xf numFmtId="14" fontId="9" fillId="0" borderId="6" xfId="1" applyNumberFormat="1" applyFont="1" applyBorder="1" applyAlignment="1">
      <alignment horizontal="center" vertical="center"/>
    </xf>
    <xf numFmtId="14" fontId="9" fillId="11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 wrapText="1"/>
    </xf>
    <xf numFmtId="14" fontId="9" fillId="11" borderId="6" xfId="1" applyNumberFormat="1" applyFont="1" applyFill="1" applyBorder="1" applyAlignment="1">
      <alignment horizontal="center" vertical="center" wrapText="1"/>
    </xf>
    <xf numFmtId="0" fontId="9" fillId="10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9" fontId="0" fillId="19" borderId="1" xfId="0" applyNumberFormat="1" applyFill="1" applyBorder="1"/>
    <xf numFmtId="0" fontId="13" fillId="18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wrapText="1"/>
    </xf>
    <xf numFmtId="0" fontId="9" fillId="12" borderId="8" xfId="1" applyFont="1" applyFill="1" applyBorder="1" applyAlignment="1">
      <alignment vertical="center" wrapText="1"/>
    </xf>
    <xf numFmtId="0" fontId="9" fillId="13" borderId="8" xfId="1" applyFont="1" applyFill="1" applyBorder="1" applyAlignment="1">
      <alignment vertical="center" wrapText="1"/>
    </xf>
    <xf numFmtId="0" fontId="9" fillId="14" borderId="8" xfId="1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 wrapText="1"/>
    </xf>
    <xf numFmtId="0" fontId="1" fillId="18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8" borderId="9" xfId="0" applyFont="1" applyFill="1" applyBorder="1" applyAlignment="1">
      <alignment vertical="center" wrapText="1"/>
    </xf>
    <xf numFmtId="0" fontId="1" fillId="18" borderId="9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13" fillId="18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0" fillId="20" borderId="0" xfId="0" applyFill="1"/>
    <xf numFmtId="0" fontId="14" fillId="20" borderId="0" xfId="0" applyFont="1" applyFill="1" applyAlignment="1">
      <alignment horizontal="center"/>
    </xf>
    <xf numFmtId="0" fontId="15" fillId="0" borderId="0" xfId="0" applyFont="1"/>
    <xf numFmtId="0" fontId="17" fillId="21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7" fillId="22" borderId="0" xfId="0" applyFont="1" applyFill="1" applyAlignment="1">
      <alignment horizontal="center"/>
    </xf>
    <xf numFmtId="0" fontId="0" fillId="23" borderId="0" xfId="0" applyFill="1"/>
    <xf numFmtId="0" fontId="18" fillId="23" borderId="0" xfId="0" applyFont="1" applyFill="1"/>
    <xf numFmtId="0" fontId="17" fillId="24" borderId="0" xfId="0" applyFont="1" applyFill="1" applyAlignment="1">
      <alignment horizontal="center"/>
    </xf>
    <xf numFmtId="0" fontId="17" fillId="24" borderId="0" xfId="0" applyFont="1" applyFill="1" applyAlignment="1">
      <alignment horizontal="center" wrapText="1"/>
    </xf>
    <xf numFmtId="0" fontId="19" fillId="25" borderId="0" xfId="0" applyFont="1" applyFill="1"/>
    <xf numFmtId="0" fontId="16" fillId="25" borderId="0" xfId="0" applyFont="1" applyFill="1"/>
    <xf numFmtId="0" fontId="20" fillId="25" borderId="0" xfId="0" applyFont="1" applyFill="1"/>
    <xf numFmtId="0" fontId="16" fillId="25" borderId="0" xfId="0" applyFont="1" applyFill="1" applyAlignment="1">
      <alignment horizontal="center"/>
    </xf>
    <xf numFmtId="0" fontId="21" fillId="25" borderId="0" xfId="0" applyFont="1" applyFill="1" applyAlignment="1">
      <alignment horizontal="center"/>
    </xf>
    <xf numFmtId="9" fontId="21" fillId="25" borderId="0" xfId="0" applyNumberFormat="1" applyFont="1" applyFill="1" applyAlignment="1">
      <alignment horizontal="center"/>
    </xf>
    <xf numFmtId="0" fontId="22" fillId="25" borderId="0" xfId="0" applyFont="1" applyFill="1" applyAlignment="1">
      <alignment horizontal="center"/>
    </xf>
    <xf numFmtId="9" fontId="22" fillId="25" borderId="0" xfId="0" applyNumberFormat="1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9" fontId="23" fillId="25" borderId="0" xfId="0" applyNumberFormat="1" applyFont="1" applyFill="1" applyAlignment="1">
      <alignment horizontal="center"/>
    </xf>
    <xf numFmtId="0" fontId="24" fillId="25" borderId="0" xfId="0" applyFont="1" applyFill="1" applyAlignment="1">
      <alignment horizontal="center"/>
    </xf>
    <xf numFmtId="0" fontId="19" fillId="26" borderId="0" xfId="0" applyFont="1" applyFill="1"/>
    <xf numFmtId="0" fontId="16" fillId="26" borderId="0" xfId="0" applyFont="1" applyFill="1"/>
    <xf numFmtId="0" fontId="20" fillId="26" borderId="0" xfId="0" applyFont="1" applyFill="1"/>
    <xf numFmtId="0" fontId="19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/>
    </xf>
    <xf numFmtId="0" fontId="21" fillId="26" borderId="0" xfId="0" applyFont="1" applyFill="1" applyAlignment="1">
      <alignment horizontal="center"/>
    </xf>
    <xf numFmtId="9" fontId="21" fillId="26" borderId="0" xfId="0" applyNumberFormat="1" applyFont="1" applyFill="1" applyAlignment="1">
      <alignment horizontal="center"/>
    </xf>
    <xf numFmtId="0" fontId="22" fillId="26" borderId="0" xfId="0" applyFont="1" applyFill="1" applyAlignment="1">
      <alignment horizontal="center"/>
    </xf>
    <xf numFmtId="9" fontId="22" fillId="26" borderId="0" xfId="0" applyNumberFormat="1" applyFont="1" applyFill="1" applyAlignment="1">
      <alignment horizontal="center"/>
    </xf>
    <xf numFmtId="0" fontId="23" fillId="26" borderId="0" xfId="0" applyFont="1" applyFill="1" applyAlignment="1">
      <alignment horizontal="center"/>
    </xf>
    <xf numFmtId="9" fontId="23" fillId="26" borderId="0" xfId="0" applyNumberFormat="1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0" fillId="24" borderId="0" xfId="0" applyFill="1"/>
    <xf numFmtId="0" fontId="26" fillId="21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0" fontId="26" fillId="22" borderId="0" xfId="0" applyFont="1" applyFill="1" applyAlignment="1">
      <alignment horizontal="center"/>
    </xf>
    <xf numFmtId="0" fontId="28" fillId="25" borderId="0" xfId="0" applyFont="1" applyFill="1" applyAlignment="1">
      <alignment horizontal="center"/>
    </xf>
    <xf numFmtId="0" fontId="29" fillId="25" borderId="0" xfId="0" applyFont="1" applyFill="1" applyAlignment="1">
      <alignment horizontal="center"/>
    </xf>
    <xf numFmtId="0" fontId="30" fillId="25" borderId="0" xfId="0" applyFont="1" applyFill="1" applyAlignment="1">
      <alignment horizontal="center"/>
    </xf>
    <xf numFmtId="0" fontId="28" fillId="26" borderId="0" xfId="0" applyFont="1" applyFill="1" applyAlignment="1">
      <alignment horizontal="center"/>
    </xf>
    <xf numFmtId="0" fontId="29" fillId="26" borderId="0" xfId="0" applyFont="1" applyFill="1" applyAlignment="1">
      <alignment horizontal="center"/>
    </xf>
    <xf numFmtId="0" fontId="30" fillId="26" borderId="0" xfId="0" applyFont="1" applyFill="1" applyAlignment="1">
      <alignment horizontal="center"/>
    </xf>
    <xf numFmtId="0" fontId="19" fillId="28" borderId="0" xfId="0" applyFont="1" applyFill="1"/>
    <xf numFmtId="0" fontId="19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7" fillId="30" borderId="0" xfId="0" applyFont="1" applyFill="1" applyAlignment="1">
      <alignment horizontal="center" wrapText="1"/>
    </xf>
    <xf numFmtId="0" fontId="17" fillId="18" borderId="0" xfId="0" applyFont="1" applyFill="1" applyAlignment="1">
      <alignment horizontal="center" wrapText="1"/>
    </xf>
    <xf numFmtId="0" fontId="17" fillId="31" borderId="0" xfId="0" applyFont="1" applyFill="1" applyAlignment="1">
      <alignment horizontal="center" wrapText="1"/>
    </xf>
    <xf numFmtId="0" fontId="17" fillId="32" borderId="0" xfId="0" applyFont="1" applyFill="1" applyAlignment="1">
      <alignment horizontal="center" wrapText="1"/>
    </xf>
    <xf numFmtId="0" fontId="31" fillId="23" borderId="0" xfId="0" applyFont="1" applyFill="1"/>
    <xf numFmtId="0" fontId="32" fillId="28" borderId="0" xfId="0" applyFont="1" applyFill="1" applyAlignment="1">
      <alignment horizontal="center"/>
    </xf>
    <xf numFmtId="0" fontId="32" fillId="26" borderId="0" xfId="0" applyFont="1" applyFill="1" applyAlignment="1">
      <alignment horizontal="center"/>
    </xf>
    <xf numFmtId="0" fontId="19" fillId="28" borderId="0" xfId="0" applyFont="1" applyFill="1" applyAlignment="1">
      <alignment horizontal="center" wrapText="1"/>
    </xf>
    <xf numFmtId="0" fontId="19" fillId="26" borderId="0" xfId="0" applyFont="1" applyFill="1" applyAlignment="1">
      <alignment horizontal="center" wrapText="1"/>
    </xf>
    <xf numFmtId="0" fontId="0" fillId="0" borderId="0" xfId="0" applyAlignment="1">
      <alignment horizontal="justify" vertical="center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3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vertical="center" wrapText="1"/>
    </xf>
    <xf numFmtId="0" fontId="24" fillId="3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0" xfId="0" applyFont="1" applyFill="1"/>
    <xf numFmtId="0" fontId="33" fillId="0" borderId="1" xfId="0" applyFont="1" applyBorder="1" applyAlignment="1">
      <alignment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0" fillId="35" borderId="0" xfId="0" applyFill="1"/>
    <xf numFmtId="0" fontId="0" fillId="36" borderId="0" xfId="0" applyFill="1"/>
    <xf numFmtId="0" fontId="0" fillId="2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38" fillId="35" borderId="0" xfId="0" applyFont="1" applyFill="1" applyAlignment="1">
      <alignment vertical="center"/>
    </xf>
    <xf numFmtId="0" fontId="39" fillId="35" borderId="0" xfId="0" applyFont="1" applyFill="1" applyAlignment="1">
      <alignment vertical="center"/>
    </xf>
    <xf numFmtId="0" fontId="40" fillId="35" borderId="0" xfId="0" applyFont="1" applyFill="1" applyAlignment="1">
      <alignment horizontal="right" vertical="center"/>
    </xf>
    <xf numFmtId="0" fontId="34" fillId="36" borderId="0" xfId="0" applyFont="1" applyFill="1" applyAlignment="1">
      <alignment vertical="center"/>
    </xf>
    <xf numFmtId="0" fontId="45" fillId="26" borderId="0" xfId="0" applyFont="1" applyFill="1"/>
    <xf numFmtId="0" fontId="17" fillId="35" borderId="0" xfId="0" applyFont="1" applyFill="1" applyAlignment="1">
      <alignment horizontal="center"/>
    </xf>
    <xf numFmtId="0" fontId="0" fillId="41" borderId="0" xfId="0" applyFill="1"/>
    <xf numFmtId="0" fontId="17" fillId="35" borderId="0" xfId="0" applyFont="1" applyFill="1" applyAlignment="1">
      <alignment horizontal="right"/>
    </xf>
    <xf numFmtId="0" fontId="56" fillId="26" borderId="0" xfId="0" applyFont="1" applyFill="1"/>
    <xf numFmtId="0" fontId="0" fillId="43" borderId="0" xfId="0" applyFill="1"/>
    <xf numFmtId="0" fontId="60" fillId="26" borderId="0" xfId="0" applyFont="1" applyFill="1"/>
    <xf numFmtId="0" fontId="53" fillId="43" borderId="0" xfId="0" applyFont="1" applyFill="1"/>
    <xf numFmtId="0" fontId="45" fillId="41" borderId="0" xfId="0" applyFont="1" applyFill="1"/>
    <xf numFmtId="0" fontId="26" fillId="35" borderId="0" xfId="0" applyFont="1" applyFill="1" applyAlignment="1">
      <alignment horizontal="center"/>
    </xf>
    <xf numFmtId="0" fontId="68" fillId="26" borderId="0" xfId="0" applyFont="1" applyFill="1"/>
    <xf numFmtId="0" fontId="69" fillId="26" borderId="0" xfId="0" applyFont="1" applyFill="1"/>
    <xf numFmtId="0" fontId="70" fillId="26" borderId="0" xfId="0" applyFont="1" applyFill="1"/>
    <xf numFmtId="0" fontId="41" fillId="42" borderId="0" xfId="0" applyFont="1" applyFill="1" applyAlignment="1">
      <alignment horizontal="center"/>
    </xf>
    <xf numFmtId="0" fontId="42" fillId="43" borderId="0" xfId="0" applyFont="1" applyFill="1" applyAlignment="1">
      <alignment horizontal="center"/>
    </xf>
    <xf numFmtId="0" fontId="34" fillId="44" borderId="0" xfId="0" applyFont="1" applyFill="1" applyAlignment="1">
      <alignment horizontal="center"/>
    </xf>
    <xf numFmtId="0" fontId="68" fillId="41" borderId="0" xfId="0" applyFont="1" applyFill="1"/>
    <xf numFmtId="0" fontId="69" fillId="41" borderId="0" xfId="0" applyFont="1" applyFill="1"/>
    <xf numFmtId="0" fontId="60" fillId="41" borderId="0" xfId="0" applyFont="1" applyFill="1"/>
    <xf numFmtId="0" fontId="70" fillId="41" borderId="0" xfId="0" applyFont="1" applyFill="1"/>
    <xf numFmtId="0" fontId="56" fillId="41" borderId="0" xfId="0" applyFont="1" applyFill="1"/>
    <xf numFmtId="0" fontId="62" fillId="41" borderId="0" xfId="0" applyFont="1" applyFill="1"/>
    <xf numFmtId="0" fontId="37" fillId="41" borderId="0" xfId="0" applyFont="1" applyFill="1"/>
    <xf numFmtId="0" fontId="61" fillId="41" borderId="0" xfId="0" applyFont="1" applyFill="1"/>
    <xf numFmtId="0" fontId="63" fillId="41" borderId="0" xfId="0" applyFont="1" applyFill="1"/>
    <xf numFmtId="0" fontId="71" fillId="41" borderId="0" xfId="0" applyFont="1" applyFill="1"/>
    <xf numFmtId="0" fontId="0" fillId="26" borderId="13" xfId="0" applyFill="1" applyBorder="1"/>
    <xf numFmtId="0" fontId="0" fillId="26" borderId="17" xfId="0" applyFill="1" applyBorder="1"/>
    <xf numFmtId="0" fontId="56" fillId="26" borderId="14" xfId="0" applyFont="1" applyFill="1" applyBorder="1"/>
    <xf numFmtId="0" fontId="58" fillId="26" borderId="14" xfId="0" applyFont="1" applyFill="1" applyBorder="1"/>
    <xf numFmtId="0" fontId="60" fillId="26" borderId="14" xfId="0" applyFont="1" applyFill="1" applyBorder="1"/>
    <xf numFmtId="0" fontId="61" fillId="26" borderId="14" xfId="0" applyFont="1" applyFill="1" applyBorder="1"/>
    <xf numFmtId="0" fontId="62" fillId="26" borderId="14" xfId="0" applyFont="1" applyFill="1" applyBorder="1"/>
    <xf numFmtId="0" fontId="63" fillId="26" borderId="14" xfId="0" applyFont="1" applyFill="1" applyBorder="1"/>
    <xf numFmtId="0" fontId="64" fillId="26" borderId="14" xfId="0" applyFont="1" applyFill="1" applyBorder="1"/>
    <xf numFmtId="0" fontId="65" fillId="26" borderId="14" xfId="0" applyFont="1" applyFill="1" applyBorder="1"/>
    <xf numFmtId="0" fontId="0" fillId="45" borderId="0" xfId="0" applyFill="1"/>
    <xf numFmtId="0" fontId="48" fillId="26" borderId="0" xfId="0" applyFont="1" applyFill="1"/>
    <xf numFmtId="0" fontId="41" fillId="26" borderId="0" xfId="0" applyFont="1" applyFill="1" applyAlignment="1">
      <alignment horizontal="center"/>
    </xf>
    <xf numFmtId="0" fontId="34" fillId="26" borderId="0" xfId="0" applyFont="1" applyFill="1" applyAlignment="1">
      <alignment horizontal="center"/>
    </xf>
    <xf numFmtId="0" fontId="42" fillId="26" borderId="0" xfId="0" applyFont="1" applyFill="1" applyAlignment="1">
      <alignment horizontal="center"/>
    </xf>
    <xf numFmtId="0" fontId="36" fillId="26" borderId="0" xfId="0" applyFont="1" applyFill="1" applyAlignment="1">
      <alignment horizontal="center"/>
    </xf>
    <xf numFmtId="0" fontId="41" fillId="41" borderId="18" xfId="0" applyFont="1" applyFill="1" applyBorder="1" applyAlignment="1">
      <alignment horizontal="center"/>
    </xf>
    <xf numFmtId="0" fontId="34" fillId="41" borderId="18" xfId="0" applyFont="1" applyFill="1" applyBorder="1" applyAlignment="1">
      <alignment horizontal="center"/>
    </xf>
    <xf numFmtId="0" fontId="42" fillId="41" borderId="18" xfId="0" applyFont="1" applyFill="1" applyBorder="1" applyAlignment="1">
      <alignment horizontal="center"/>
    </xf>
    <xf numFmtId="0" fontId="36" fillId="41" borderId="18" xfId="0" applyFont="1" applyFill="1" applyBorder="1" applyAlignment="1">
      <alignment horizontal="center"/>
    </xf>
    <xf numFmtId="0" fontId="49" fillId="41" borderId="13" xfId="0" applyFont="1" applyFill="1" applyBorder="1"/>
    <xf numFmtId="0" fontId="41" fillId="41" borderId="13" xfId="0" applyFont="1" applyFill="1" applyBorder="1" applyAlignment="1">
      <alignment horizontal="center"/>
    </xf>
    <xf numFmtId="0" fontId="34" fillId="41" borderId="13" xfId="0" applyFont="1" applyFill="1" applyBorder="1" applyAlignment="1">
      <alignment horizontal="center"/>
    </xf>
    <xf numFmtId="0" fontId="42" fillId="41" borderId="13" xfId="0" applyFont="1" applyFill="1" applyBorder="1" applyAlignment="1">
      <alignment horizontal="center"/>
    </xf>
    <xf numFmtId="0" fontId="36" fillId="41" borderId="13" xfId="0" applyFont="1" applyFill="1" applyBorder="1" applyAlignment="1">
      <alignment horizontal="center"/>
    </xf>
    <xf numFmtId="0" fontId="50" fillId="26" borderId="13" xfId="0" applyFont="1" applyFill="1" applyBorder="1"/>
    <xf numFmtId="0" fontId="41" fillId="26" borderId="13" xfId="0" applyFont="1" applyFill="1" applyBorder="1" applyAlignment="1">
      <alignment horizontal="center"/>
    </xf>
    <xf numFmtId="0" fontId="34" fillId="26" borderId="13" xfId="0" applyFont="1" applyFill="1" applyBorder="1" applyAlignment="1">
      <alignment horizontal="center"/>
    </xf>
    <xf numFmtId="0" fontId="42" fillId="26" borderId="13" xfId="0" applyFont="1" applyFill="1" applyBorder="1" applyAlignment="1">
      <alignment horizontal="center"/>
    </xf>
    <xf numFmtId="0" fontId="36" fillId="26" borderId="13" xfId="0" applyFont="1" applyFill="1" applyBorder="1" applyAlignment="1">
      <alignment horizontal="center"/>
    </xf>
    <xf numFmtId="0" fontId="51" fillId="41" borderId="13" xfId="0" applyFont="1" applyFill="1" applyBorder="1"/>
    <xf numFmtId="0" fontId="52" fillId="26" borderId="13" xfId="0" applyFont="1" applyFill="1" applyBorder="1"/>
    <xf numFmtId="0" fontId="53" fillId="41" borderId="13" xfId="0" applyFont="1" applyFill="1" applyBorder="1"/>
    <xf numFmtId="0" fontId="54" fillId="26" borderId="13" xfId="0" applyFont="1" applyFill="1" applyBorder="1"/>
    <xf numFmtId="0" fontId="55" fillId="41" borderId="18" xfId="0" applyFont="1" applyFill="1" applyBorder="1"/>
    <xf numFmtId="0" fontId="35" fillId="36" borderId="19" xfId="0" applyFont="1" applyFill="1" applyBorder="1" applyAlignment="1">
      <alignment vertical="center"/>
    </xf>
    <xf numFmtId="0" fontId="0" fillId="36" borderId="19" xfId="0" applyFill="1" applyBorder="1"/>
    <xf numFmtId="0" fontId="36" fillId="36" borderId="19" xfId="0" applyFont="1" applyFill="1" applyBorder="1" applyAlignment="1">
      <alignment vertical="center"/>
    </xf>
    <xf numFmtId="0" fontId="34" fillId="36" borderId="19" xfId="0" applyFont="1" applyFill="1" applyBorder="1" applyAlignment="1">
      <alignment vertical="center"/>
    </xf>
    <xf numFmtId="49" fontId="47" fillId="43" borderId="0" xfId="0" applyNumberFormat="1" applyFont="1" applyFill="1" applyAlignment="1">
      <alignment horizontal="center"/>
    </xf>
    <xf numFmtId="49" fontId="44" fillId="26" borderId="0" xfId="0" applyNumberFormat="1" applyFont="1" applyFill="1" applyAlignment="1">
      <alignment horizontal="center"/>
    </xf>
    <xf numFmtId="49" fontId="66" fillId="41" borderId="0" xfId="0" applyNumberFormat="1" applyFont="1" applyFill="1" applyAlignment="1">
      <alignment horizontal="center"/>
    </xf>
    <xf numFmtId="49" fontId="66" fillId="26" borderId="0" xfId="0" applyNumberFormat="1" applyFont="1" applyFill="1" applyAlignment="1">
      <alignment horizontal="center"/>
    </xf>
    <xf numFmtId="49" fontId="47" fillId="41" borderId="0" xfId="0" applyNumberFormat="1" applyFont="1" applyFill="1" applyAlignment="1">
      <alignment horizontal="center"/>
    </xf>
    <xf numFmtId="49" fontId="47" fillId="26" borderId="0" xfId="0" applyNumberFormat="1" applyFont="1" applyFill="1" applyAlignment="1">
      <alignment horizontal="center"/>
    </xf>
    <xf numFmtId="0" fontId="67" fillId="26" borderId="21" xfId="0" applyFont="1" applyFill="1" applyBorder="1" applyAlignment="1">
      <alignment horizontal="left" vertical="center" indent="1"/>
    </xf>
    <xf numFmtId="0" fontId="73" fillId="41" borderId="0" xfId="0" applyFont="1" applyFill="1" applyAlignment="1">
      <alignment horizontal="right" vertical="center"/>
    </xf>
    <xf numFmtId="0" fontId="74" fillId="41" borderId="20" xfId="0" applyFont="1" applyFill="1" applyBorder="1"/>
    <xf numFmtId="0" fontId="75" fillId="41" borderId="20" xfId="0" applyFont="1" applyFill="1" applyBorder="1" applyAlignment="1">
      <alignment vertical="center"/>
    </xf>
    <xf numFmtId="0" fontId="77" fillId="41" borderId="20" xfId="0" applyFont="1" applyFill="1" applyBorder="1" applyAlignment="1">
      <alignment vertical="center"/>
    </xf>
    <xf numFmtId="0" fontId="78" fillId="41" borderId="20" xfId="0" applyFont="1" applyFill="1" applyBorder="1" applyAlignment="1">
      <alignment horizontal="right" vertical="center"/>
    </xf>
    <xf numFmtId="0" fontId="74" fillId="0" borderId="0" xfId="0" applyFont="1"/>
    <xf numFmtId="0" fontId="3" fillId="0" borderId="0" xfId="0" applyFont="1"/>
    <xf numFmtId="0" fontId="79" fillId="0" borderId="0" xfId="0" applyFont="1"/>
    <xf numFmtId="0" fontId="17" fillId="35" borderId="0" xfId="0" applyFont="1" applyFill="1" applyAlignment="1">
      <alignment horizontal="centerContinuous"/>
    </xf>
    <xf numFmtId="0" fontId="0" fillId="35" borderId="0" xfId="0" applyFill="1" applyAlignment="1">
      <alignment horizontal="centerContinuous"/>
    </xf>
    <xf numFmtId="9" fontId="58" fillId="43" borderId="0" xfId="2" applyFont="1" applyFill="1" applyAlignment="1">
      <alignment horizontal="right"/>
    </xf>
    <xf numFmtId="9" fontId="61" fillId="26" borderId="0" xfId="2" applyFont="1" applyFill="1" applyAlignment="1">
      <alignment horizontal="right"/>
    </xf>
    <xf numFmtId="9" fontId="61" fillId="41" borderId="0" xfId="2" applyFont="1" applyFill="1" applyAlignment="1">
      <alignment horizontal="right"/>
    </xf>
    <xf numFmtId="9" fontId="58" fillId="26" borderId="0" xfId="2" applyFont="1" applyFill="1" applyAlignment="1">
      <alignment horizontal="right"/>
    </xf>
    <xf numFmtId="9" fontId="58" fillId="41" borderId="0" xfId="2" applyFont="1" applyFill="1" applyAlignment="1">
      <alignment horizontal="right"/>
    </xf>
    <xf numFmtId="9" fontId="0" fillId="0" borderId="0" xfId="2" applyFont="1"/>
    <xf numFmtId="9" fontId="63" fillId="43" borderId="0" xfId="2" applyFont="1" applyFill="1" applyAlignment="1">
      <alignment horizontal="right"/>
    </xf>
    <xf numFmtId="9" fontId="63" fillId="41" borderId="0" xfId="2" applyFont="1" applyFill="1" applyAlignment="1">
      <alignment horizontal="right"/>
    </xf>
    <xf numFmtId="9" fontId="63" fillId="26" borderId="0" xfId="2" applyFont="1" applyFill="1" applyAlignment="1">
      <alignment horizontal="right"/>
    </xf>
    <xf numFmtId="0" fontId="3" fillId="26" borderId="0" xfId="0" applyFont="1" applyFill="1"/>
    <xf numFmtId="0" fontId="3" fillId="45" borderId="0" xfId="0" applyFont="1" applyFill="1"/>
    <xf numFmtId="0" fontId="80" fillId="26" borderId="0" xfId="0" applyFont="1" applyFill="1"/>
    <xf numFmtId="0" fontId="0" fillId="46" borderId="0" xfId="0" applyFill="1"/>
    <xf numFmtId="164" fontId="43" fillId="26" borderId="13" xfId="0" applyNumberFormat="1" applyFont="1" applyFill="1" applyBorder="1" applyAlignment="1">
      <alignment horizontal="right"/>
    </xf>
    <xf numFmtId="164" fontId="72" fillId="26" borderId="13" xfId="0" applyNumberFormat="1" applyFont="1" applyFill="1" applyBorder="1" applyAlignment="1">
      <alignment horizontal="right"/>
    </xf>
    <xf numFmtId="164" fontId="46" fillId="26" borderId="16" xfId="0" applyNumberFormat="1" applyFont="1" applyFill="1" applyBorder="1" applyAlignment="1">
      <alignment horizontal="right"/>
    </xf>
    <xf numFmtId="164" fontId="46" fillId="26" borderId="13" xfId="0" applyNumberFormat="1" applyFont="1" applyFill="1" applyBorder="1" applyAlignment="1">
      <alignment horizontal="right"/>
    </xf>
    <xf numFmtId="0" fontId="45" fillId="26" borderId="15" xfId="0" applyFont="1" applyFill="1" applyBorder="1"/>
    <xf numFmtId="0" fontId="34" fillId="36" borderId="0" xfId="0" applyFont="1" applyFill="1"/>
    <xf numFmtId="0" fontId="57" fillId="26" borderId="15" xfId="0" applyFont="1" applyFill="1" applyBorder="1"/>
    <xf numFmtId="0" fontId="59" fillId="26" borderId="15" xfId="0" applyFont="1" applyFill="1" applyBorder="1"/>
    <xf numFmtId="164" fontId="0" fillId="26" borderId="0" xfId="0" applyNumberFormat="1" applyFill="1"/>
    <xf numFmtId="0" fontId="0" fillId="47" borderId="1" xfId="0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33" borderId="1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9" fillId="0" borderId="1" xfId="1" applyFont="1" applyBorder="1" applyAlignment="1">
      <alignment horizontal="center" vertical="center" wrapText="1"/>
    </xf>
    <xf numFmtId="0" fontId="9" fillId="16" borderId="1" xfId="1" applyFon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9" fontId="0" fillId="0" borderId="1" xfId="2" applyFont="1" applyBorder="1" applyAlignment="1">
      <alignment horizontal="center" wrapText="1"/>
    </xf>
    <xf numFmtId="0" fontId="1" fillId="18" borderId="7" xfId="0" applyFont="1" applyFill="1" applyBorder="1" applyAlignment="1">
      <alignment horizontal="center" vertical="center"/>
    </xf>
    <xf numFmtId="0" fontId="1" fillId="18" borderId="22" xfId="0" applyFont="1" applyFill="1" applyBorder="1" applyAlignment="1">
      <alignment horizontal="center" vertical="center" wrapText="1"/>
    </xf>
    <xf numFmtId="0" fontId="1" fillId="46" borderId="6" xfId="0" applyFont="1" applyFill="1" applyBorder="1" applyAlignment="1">
      <alignment horizontal="center" vertical="center" wrapText="1"/>
    </xf>
    <xf numFmtId="0" fontId="1" fillId="46" borderId="4" xfId="0" applyFont="1" applyFill="1" applyBorder="1" applyAlignment="1">
      <alignment horizontal="center" vertical="center" wrapText="1"/>
    </xf>
    <xf numFmtId="0" fontId="1" fillId="46" borderId="12" xfId="0" applyFont="1" applyFill="1" applyBorder="1" applyAlignment="1">
      <alignment horizontal="center" vertical="center" wrapText="1"/>
    </xf>
    <xf numFmtId="0" fontId="1" fillId="46" borderId="1" xfId="0" applyFont="1" applyFill="1" applyBorder="1" applyAlignment="1">
      <alignment horizontal="center" vertical="center" wrapText="1"/>
    </xf>
    <xf numFmtId="0" fontId="1" fillId="46" borderId="8" xfId="0" applyFont="1" applyFill="1" applyBorder="1" applyAlignment="1">
      <alignment horizontal="center" vertical="center" wrapText="1"/>
    </xf>
    <xf numFmtId="0" fontId="1" fillId="46" borderId="22" xfId="0" applyFont="1" applyFill="1" applyBorder="1" applyAlignment="1">
      <alignment horizontal="center" vertical="center" wrapText="1"/>
    </xf>
    <xf numFmtId="0" fontId="1" fillId="46" borderId="1" xfId="0" applyFont="1" applyFill="1" applyBorder="1" applyAlignment="1">
      <alignment vertical="center" wrapText="1"/>
    </xf>
    <xf numFmtId="0" fontId="1" fillId="46" borderId="11" xfId="0" applyFont="1" applyFill="1" applyBorder="1" applyAlignment="1">
      <alignment horizontal="center" vertical="center" wrapText="1"/>
    </xf>
    <xf numFmtId="0" fontId="1" fillId="46" borderId="4" xfId="0" applyFont="1" applyFill="1" applyBorder="1" applyAlignment="1">
      <alignment vertical="center" wrapText="1"/>
    </xf>
    <xf numFmtId="0" fontId="1" fillId="46" borderId="7" xfId="0" applyFont="1" applyFill="1" applyBorder="1" applyAlignment="1">
      <alignment vertical="center" wrapText="1"/>
    </xf>
    <xf numFmtId="0" fontId="1" fillId="46" borderId="8" xfId="0" applyFont="1" applyFill="1" applyBorder="1" applyAlignment="1">
      <alignment vertical="center" wrapText="1"/>
    </xf>
    <xf numFmtId="0" fontId="1" fillId="46" borderId="6" xfId="0" applyFont="1" applyFill="1" applyBorder="1" applyAlignment="1">
      <alignment vertical="center" wrapText="1"/>
    </xf>
    <xf numFmtId="0" fontId="1" fillId="18" borderId="3" xfId="0" applyFont="1" applyFill="1" applyBorder="1" applyAlignment="1">
      <alignment vertical="center" wrapText="1"/>
    </xf>
    <xf numFmtId="9" fontId="0" fillId="0" borderId="1" xfId="0" applyNumberFormat="1" applyBorder="1" applyAlignment="1">
      <alignment horizontal="center"/>
    </xf>
    <xf numFmtId="0" fontId="81" fillId="0" borderId="0" xfId="3"/>
    <xf numFmtId="0" fontId="84" fillId="48" borderId="23" xfId="3" applyFont="1" applyFill="1" applyBorder="1" applyAlignment="1">
      <alignment horizontal="center" vertical="center" wrapText="1"/>
    </xf>
    <xf numFmtId="0" fontId="85" fillId="51" borderId="25" xfId="3" applyFont="1" applyFill="1" applyBorder="1" applyAlignment="1">
      <alignment horizontal="center" vertical="center" wrapText="1"/>
    </xf>
    <xf numFmtId="0" fontId="85" fillId="51" borderId="26" xfId="3" applyFont="1" applyFill="1" applyBorder="1" applyAlignment="1">
      <alignment horizontal="center" vertical="center" wrapText="1"/>
    </xf>
    <xf numFmtId="0" fontId="86" fillId="51" borderId="26" xfId="3" applyFont="1" applyFill="1" applyBorder="1" applyAlignment="1">
      <alignment horizontal="left" vertical="center" wrapText="1"/>
    </xf>
    <xf numFmtId="0" fontId="85" fillId="51" borderId="26" xfId="3" applyFont="1" applyFill="1" applyBorder="1" applyAlignment="1">
      <alignment horizontal="left" vertical="center" wrapText="1"/>
    </xf>
    <xf numFmtId="0" fontId="87" fillId="51" borderId="26" xfId="3" applyFont="1" applyFill="1" applyBorder="1" applyAlignment="1">
      <alignment horizontal="center" vertical="center" wrapText="1"/>
    </xf>
    <xf numFmtId="0" fontId="85" fillId="51" borderId="27" xfId="3" applyFont="1" applyFill="1" applyBorder="1" applyAlignment="1">
      <alignment horizontal="left" vertical="center" wrapText="1"/>
    </xf>
    <xf numFmtId="0" fontId="85" fillId="52" borderId="25" xfId="3" applyFont="1" applyFill="1" applyBorder="1" applyAlignment="1">
      <alignment horizontal="center" vertical="center" wrapText="1"/>
    </xf>
    <xf numFmtId="0" fontId="85" fillId="52" borderId="26" xfId="3" applyFont="1" applyFill="1" applyBorder="1" applyAlignment="1">
      <alignment horizontal="center" vertical="center" wrapText="1"/>
    </xf>
    <xf numFmtId="0" fontId="86" fillId="52" borderId="26" xfId="3" applyFont="1" applyFill="1" applyBorder="1" applyAlignment="1">
      <alignment horizontal="left" vertical="center" wrapText="1"/>
    </xf>
    <xf numFmtId="0" fontId="85" fillId="52" borderId="26" xfId="3" applyFont="1" applyFill="1" applyBorder="1" applyAlignment="1">
      <alignment horizontal="left" vertical="center" wrapText="1"/>
    </xf>
    <xf numFmtId="0" fontId="87" fillId="52" borderId="26" xfId="3" applyFont="1" applyFill="1" applyBorder="1" applyAlignment="1">
      <alignment horizontal="center" vertical="center" wrapText="1"/>
    </xf>
    <xf numFmtId="0" fontId="85" fillId="52" borderId="27" xfId="3" applyFont="1" applyFill="1" applyBorder="1" applyAlignment="1">
      <alignment horizontal="left" vertical="center" wrapText="1"/>
    </xf>
    <xf numFmtId="0" fontId="85" fillId="55" borderId="25" xfId="3" applyFont="1" applyFill="1" applyBorder="1" applyAlignment="1">
      <alignment horizontal="center" vertical="center" wrapText="1"/>
    </xf>
    <xf numFmtId="0" fontId="85" fillId="55" borderId="26" xfId="3" applyFont="1" applyFill="1" applyBorder="1" applyAlignment="1">
      <alignment horizontal="center" vertical="center" wrapText="1"/>
    </xf>
    <xf numFmtId="0" fontId="86" fillId="55" borderId="26" xfId="3" applyFont="1" applyFill="1" applyBorder="1" applyAlignment="1">
      <alignment horizontal="left" vertical="center" wrapText="1"/>
    </xf>
    <xf numFmtId="0" fontId="85" fillId="55" borderId="26" xfId="3" applyFont="1" applyFill="1" applyBorder="1" applyAlignment="1">
      <alignment horizontal="left" vertical="center" wrapText="1"/>
    </xf>
    <xf numFmtId="0" fontId="87" fillId="55" borderId="26" xfId="3" applyFont="1" applyFill="1" applyBorder="1" applyAlignment="1">
      <alignment horizontal="center" vertical="center" wrapText="1"/>
    </xf>
    <xf numFmtId="0" fontId="85" fillId="55" borderId="27" xfId="3" applyFont="1" applyFill="1" applyBorder="1" applyAlignment="1">
      <alignment horizontal="left" vertical="center" wrapText="1"/>
    </xf>
    <xf numFmtId="0" fontId="85" fillId="57" borderId="25" xfId="3" applyFont="1" applyFill="1" applyBorder="1" applyAlignment="1">
      <alignment horizontal="center" vertical="center" wrapText="1"/>
    </xf>
    <xf numFmtId="0" fontId="85" fillId="57" borderId="26" xfId="3" applyFont="1" applyFill="1" applyBorder="1" applyAlignment="1">
      <alignment horizontal="center" vertical="center" wrapText="1"/>
    </xf>
    <xf numFmtId="0" fontId="86" fillId="57" borderId="26" xfId="3" applyFont="1" applyFill="1" applyBorder="1" applyAlignment="1">
      <alignment horizontal="left" vertical="center" wrapText="1"/>
    </xf>
    <xf numFmtId="0" fontId="85" fillId="57" borderId="26" xfId="3" applyFont="1" applyFill="1" applyBorder="1" applyAlignment="1">
      <alignment horizontal="left" vertical="center" wrapText="1"/>
    </xf>
    <xf numFmtId="0" fontId="87" fillId="57" borderId="26" xfId="3" applyFont="1" applyFill="1" applyBorder="1" applyAlignment="1">
      <alignment horizontal="center" vertical="center" wrapText="1"/>
    </xf>
    <xf numFmtId="0" fontId="85" fillId="57" borderId="27" xfId="3" applyFont="1" applyFill="1" applyBorder="1" applyAlignment="1">
      <alignment horizontal="left" vertical="center" wrapText="1"/>
    </xf>
    <xf numFmtId="0" fontId="85" fillId="59" borderId="25" xfId="3" applyFont="1" applyFill="1" applyBorder="1" applyAlignment="1">
      <alignment horizontal="center" vertical="center" wrapText="1"/>
    </xf>
    <xf numFmtId="0" fontId="85" fillId="59" borderId="26" xfId="3" applyFont="1" applyFill="1" applyBorder="1" applyAlignment="1">
      <alignment horizontal="center" vertical="center" wrapText="1"/>
    </xf>
    <xf numFmtId="0" fontId="86" fillId="59" borderId="26" xfId="3" applyFont="1" applyFill="1" applyBorder="1" applyAlignment="1">
      <alignment horizontal="left" vertical="center" wrapText="1"/>
    </xf>
    <xf numFmtId="0" fontId="85" fillId="59" borderId="26" xfId="3" applyFont="1" applyFill="1" applyBorder="1" applyAlignment="1">
      <alignment horizontal="left" vertical="center" wrapText="1"/>
    </xf>
    <xf numFmtId="0" fontId="87" fillId="59" borderId="26" xfId="3" applyFont="1" applyFill="1" applyBorder="1" applyAlignment="1">
      <alignment horizontal="center" vertical="center" wrapText="1"/>
    </xf>
    <xf numFmtId="0" fontId="85" fillId="59" borderId="27" xfId="3" applyFont="1" applyFill="1" applyBorder="1" applyAlignment="1">
      <alignment horizontal="left" vertical="center" wrapText="1"/>
    </xf>
    <xf numFmtId="0" fontId="85" fillId="61" borderId="25" xfId="3" applyFont="1" applyFill="1" applyBorder="1" applyAlignment="1">
      <alignment horizontal="center" vertical="center" wrapText="1"/>
    </xf>
    <xf numFmtId="0" fontId="85" fillId="61" borderId="26" xfId="3" applyFont="1" applyFill="1" applyBorder="1" applyAlignment="1">
      <alignment horizontal="center" vertical="center" wrapText="1"/>
    </xf>
    <xf numFmtId="0" fontId="86" fillId="61" borderId="26" xfId="3" applyFont="1" applyFill="1" applyBorder="1" applyAlignment="1">
      <alignment horizontal="left" vertical="center" wrapText="1"/>
    </xf>
    <xf numFmtId="0" fontId="85" fillId="61" borderId="26" xfId="3" applyFont="1" applyFill="1" applyBorder="1" applyAlignment="1">
      <alignment horizontal="left" vertical="center" wrapText="1"/>
    </xf>
    <xf numFmtId="0" fontId="87" fillId="61" borderId="26" xfId="3" applyFont="1" applyFill="1" applyBorder="1" applyAlignment="1">
      <alignment horizontal="center" vertical="center" wrapText="1"/>
    </xf>
    <xf numFmtId="0" fontId="85" fillId="61" borderId="27" xfId="3" applyFont="1" applyFill="1" applyBorder="1" applyAlignment="1">
      <alignment horizontal="left" vertical="center" wrapText="1"/>
    </xf>
    <xf numFmtId="0" fontId="85" fillId="65" borderId="25" xfId="3" applyFont="1" applyFill="1" applyBorder="1" applyAlignment="1">
      <alignment horizontal="center" vertical="center" wrapText="1"/>
    </xf>
    <xf numFmtId="0" fontId="85" fillId="65" borderId="26" xfId="3" applyFont="1" applyFill="1" applyBorder="1" applyAlignment="1">
      <alignment horizontal="center" vertical="center" wrapText="1"/>
    </xf>
    <xf numFmtId="0" fontId="86" fillId="65" borderId="26" xfId="3" applyFont="1" applyFill="1" applyBorder="1" applyAlignment="1">
      <alignment horizontal="left" vertical="center" wrapText="1"/>
    </xf>
    <xf numFmtId="0" fontId="85" fillId="65" borderId="26" xfId="3" applyFont="1" applyFill="1" applyBorder="1" applyAlignment="1">
      <alignment horizontal="left" vertical="center" wrapText="1"/>
    </xf>
    <xf numFmtId="0" fontId="87" fillId="65" borderId="26" xfId="3" applyFont="1" applyFill="1" applyBorder="1" applyAlignment="1">
      <alignment horizontal="center" vertical="center" wrapText="1"/>
    </xf>
    <xf numFmtId="0" fontId="85" fillId="65" borderId="27" xfId="3" applyFont="1" applyFill="1" applyBorder="1" applyAlignment="1">
      <alignment horizontal="left" vertical="center" wrapText="1"/>
    </xf>
    <xf numFmtId="0" fontId="1" fillId="46" borderId="35" xfId="0" applyFont="1" applyFill="1" applyBorder="1" applyAlignment="1">
      <alignment horizontal="center" vertical="center" wrapText="1"/>
    </xf>
    <xf numFmtId="0" fontId="0" fillId="31" borderId="0" xfId="0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0" fillId="66" borderId="0" xfId="0" applyFill="1" applyAlignment="1">
      <alignment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46" borderId="6" xfId="0" applyFont="1" applyFill="1" applyBorder="1" applyAlignment="1">
      <alignment horizontal="center" vertical="center" wrapText="1"/>
    </xf>
    <xf numFmtId="0" fontId="1" fillId="46" borderId="7" xfId="0" applyFont="1" applyFill="1" applyBorder="1" applyAlignment="1">
      <alignment horizontal="center" vertical="center"/>
    </xf>
    <xf numFmtId="0" fontId="1" fillId="46" borderId="8" xfId="0" applyFont="1" applyFill="1" applyBorder="1" applyAlignment="1">
      <alignment horizontal="center" vertical="center"/>
    </xf>
    <xf numFmtId="0" fontId="1" fillId="46" borderId="7" xfId="0" applyFont="1" applyFill="1" applyBorder="1" applyAlignment="1">
      <alignment horizontal="center" vertical="center" wrapText="1"/>
    </xf>
    <xf numFmtId="0" fontId="1" fillId="46" borderId="2" xfId="0" applyFont="1" applyFill="1" applyBorder="1" applyAlignment="1">
      <alignment horizontal="center" vertical="center" wrapText="1"/>
    </xf>
    <xf numFmtId="0" fontId="1" fillId="46" borderId="3" xfId="0" applyFont="1" applyFill="1" applyBorder="1" applyAlignment="1">
      <alignment horizontal="center" vertical="center" wrapText="1"/>
    </xf>
    <xf numFmtId="0" fontId="1" fillId="46" borderId="8" xfId="0" applyFont="1" applyFill="1" applyBorder="1" applyAlignment="1">
      <alignment horizontal="center" vertical="center" wrapText="1"/>
    </xf>
    <xf numFmtId="0" fontId="1" fillId="46" borderId="10" xfId="0" applyFont="1" applyFill="1" applyBorder="1" applyAlignment="1">
      <alignment horizontal="center" vertical="center" wrapText="1"/>
    </xf>
    <xf numFmtId="0" fontId="1" fillId="46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67" fillId="26" borderId="21" xfId="0" quotePrefix="1" applyFont="1" applyFill="1" applyBorder="1" applyAlignment="1">
      <alignment horizontal="left" vertical="center" indent="1"/>
    </xf>
    <xf numFmtId="0" fontId="76" fillId="26" borderId="0" xfId="0" applyFont="1" applyFill="1" applyAlignment="1">
      <alignment horizontal="center" vertical="center"/>
    </xf>
    <xf numFmtId="0" fontId="67" fillId="41" borderId="0" xfId="0" applyFont="1" applyFill="1" applyAlignment="1">
      <alignment horizontal="left" vertical="center" indent="1"/>
    </xf>
    <xf numFmtId="0" fontId="25" fillId="27" borderId="0" xfId="0" applyFont="1" applyFill="1" applyAlignment="1">
      <alignment horizontal="center"/>
    </xf>
    <xf numFmtId="0" fontId="25" fillId="21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84" fillId="60" borderId="31" xfId="3" applyFont="1" applyFill="1" applyBorder="1" applyAlignment="1">
      <alignment horizontal="left" vertical="center"/>
    </xf>
    <xf numFmtId="0" fontId="82" fillId="48" borderId="0" xfId="3" applyFont="1" applyFill="1" applyAlignment="1">
      <alignment horizontal="center" vertical="center"/>
    </xf>
    <xf numFmtId="0" fontId="83" fillId="49" borderId="0" xfId="3" applyFont="1" applyFill="1" applyAlignment="1">
      <alignment horizontal="center" vertical="center"/>
    </xf>
    <xf numFmtId="0" fontId="84" fillId="50" borderId="24" xfId="3" applyFont="1" applyFill="1" applyBorder="1" applyAlignment="1">
      <alignment horizontal="left" vertical="center"/>
    </xf>
    <xf numFmtId="0" fontId="81" fillId="53" borderId="0" xfId="3" applyFill="1"/>
    <xf numFmtId="0" fontId="84" fillId="54" borderId="28" xfId="3" applyFont="1" applyFill="1" applyBorder="1" applyAlignment="1">
      <alignment horizontal="left" vertical="center"/>
    </xf>
    <xf numFmtId="0" fontId="84" fillId="56" borderId="29" xfId="3" applyFont="1" applyFill="1" applyBorder="1" applyAlignment="1">
      <alignment horizontal="left" vertical="center"/>
    </xf>
    <xf numFmtId="0" fontId="84" fillId="58" borderId="30" xfId="3" applyFont="1" applyFill="1" applyBorder="1" applyAlignment="1">
      <alignment horizontal="left" vertical="center"/>
    </xf>
    <xf numFmtId="0" fontId="84" fillId="62" borderId="32" xfId="3" applyFont="1" applyFill="1" applyBorder="1" applyAlignment="1">
      <alignment horizontal="left" vertical="center"/>
    </xf>
    <xf numFmtId="0" fontId="84" fillId="63" borderId="33" xfId="3" applyFont="1" applyFill="1" applyBorder="1" applyAlignment="1">
      <alignment horizontal="left" vertical="center"/>
    </xf>
    <xf numFmtId="0" fontId="84" fillId="64" borderId="34" xfId="3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46" borderId="2" xfId="0" applyFont="1" applyFill="1" applyBorder="1" applyAlignment="1">
      <alignment horizontal="centerContinuous" vertical="center" wrapText="1"/>
    </xf>
    <xf numFmtId="0" fontId="1" fillId="46" borderId="3" xfId="0" applyFont="1" applyFill="1" applyBorder="1" applyAlignment="1">
      <alignment horizontal="centerContinuous" vertical="center" wrapText="1"/>
    </xf>
    <xf numFmtId="0" fontId="1" fillId="46" borderId="10" xfId="0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1" xr:uid="{6A0DC521-243D-417E-A0A3-24770BBA1F71}"/>
    <cellStyle name="Normal 3" xfId="3" xr:uid="{C1353B85-B24B-4381-8E65-14FFE7E77E25}"/>
    <cellStyle name="Porcentaje" xfId="2" builtinId="5"/>
  </cellStyles>
  <dxfs count="69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70C0"/>
      </font>
      <fill>
        <patternFill patternType="solid">
          <fgColor indexed="64"/>
          <bgColor rgb="FFDDEEFF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</dxfs>
  <tableStyles count="0" defaultTableStyle="TableStyleMedium2" defaultPivotStyle="PivotStyleLight16"/>
  <colors>
    <mruColors>
      <color rgb="FFE072BE"/>
      <color rgb="FF3CE0B5"/>
      <color rgb="FF53D2FF"/>
      <color rgb="FFFFC301"/>
      <color rgb="FF552579"/>
      <color rgb="FF329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283028</xdr:colOff>
      <xdr:row>7</xdr:row>
      <xdr:rowOff>65314</xdr:rowOff>
    </xdr:from>
    <xdr:to>
      <xdr:col>2</xdr:col>
      <xdr:colOff>424543</xdr:colOff>
      <xdr:row>9</xdr:row>
      <xdr:rowOff>315685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0932DD6-81A9-86CF-7BFC-E6CC3EFE2C25}"/>
            </a:ext>
          </a:extLst>
        </xdr:cNvPr>
        <xdr:cNvGrpSpPr/>
      </xdr:nvGrpSpPr>
      <xdr:grpSpPr>
        <a:xfrm>
          <a:off x="380999" y="2351314"/>
          <a:ext cx="2438401" cy="1208314"/>
          <a:chOff x="5268685" y="1915885"/>
          <a:chExt cx="2971800" cy="112123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37EB7C01-E816-FF69-D30D-7D2192A99000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3F30A99-0E45-17BE-B9BE-CC4C7D33520D}"/>
              </a:ext>
            </a:extLst>
          </xdr:cNvPr>
          <xdr:cNvSpPr txBox="1"/>
        </xdr:nvSpPr>
        <xdr:spPr>
          <a:xfrm>
            <a:off x="5769430" y="2503715"/>
            <a:ext cx="199208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Programas</a:t>
            </a:r>
          </a:p>
        </xdr:txBody>
      </xdr:sp>
      <xdr:sp macro="" textlink="B9">
        <xdr:nvSpPr>
          <xdr:cNvPr id="2" name="CuadroTexto 1">
            <a:extLst>
              <a:ext uri="{FF2B5EF4-FFF2-40B4-BE49-F238E27FC236}">
                <a16:creationId xmlns:a16="http://schemas.microsoft.com/office/drawing/2014/main" id="{7FCAF0C8-15A5-98CE-A43A-BB605331633C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5AEFB80-B869-4162-987B-A1E4FC28B81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0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141513</xdr:colOff>
      <xdr:row>8</xdr:row>
      <xdr:rowOff>21773</xdr:rowOff>
    </xdr:from>
    <xdr:to>
      <xdr:col>6</xdr:col>
      <xdr:colOff>1012372</xdr:colOff>
      <xdr:row>9</xdr:row>
      <xdr:rowOff>337459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AA2CA8CE-6E40-4286-8A21-0092F822A9FE}"/>
            </a:ext>
          </a:extLst>
        </xdr:cNvPr>
        <xdr:cNvGrpSpPr/>
      </xdr:nvGrpSpPr>
      <xdr:grpSpPr>
        <a:xfrm>
          <a:off x="5932713" y="2405744"/>
          <a:ext cx="2002973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8AC20B34-4201-7ACB-24B4-B5B9F3D34463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FA4C8E0F-FEEA-17F3-1DBB-849E77A4978D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r>
              <a:rPr lang="es-US" sz="2000" b="1" baseline="0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Finalizadas</a:t>
            </a:r>
            <a:endParaRPr lang="es-US" sz="2000" b="1">
              <a:solidFill>
                <a:schemeClr val="accent3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F9">
        <xdr:nvSpPr>
          <xdr:cNvPr id="9" name="CuadroTexto 8">
            <a:extLst>
              <a:ext uri="{FF2B5EF4-FFF2-40B4-BE49-F238E27FC236}">
                <a16:creationId xmlns:a16="http://schemas.microsoft.com/office/drawing/2014/main" id="{4C951974-92BD-7BC9-5F16-FAC3E3BD7EDD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A35F0DD-AD33-44AB-B28A-BB24CF01BB6A}" type="TxLink">
              <a:rPr lang="en-US" sz="2800" b="1" i="0" u="none" strike="noStrike">
                <a:solidFill>
                  <a:srgbClr val="00B050"/>
                </a:solidFill>
                <a:latin typeface="Aptos Narrow"/>
              </a:rPr>
              <a:pPr algn="ctr"/>
              <a:t>0</a:t>
            </a:fld>
            <a:endParaRPr lang="es-US" sz="11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2</xdr:col>
      <xdr:colOff>664027</xdr:colOff>
      <xdr:row>7</xdr:row>
      <xdr:rowOff>76200</xdr:rowOff>
    </xdr:from>
    <xdr:to>
      <xdr:col>5</xdr:col>
      <xdr:colOff>10886</xdr:colOff>
      <xdr:row>9</xdr:row>
      <xdr:rowOff>293915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465063AC-2D88-44FB-8AA4-C0D49F85BC5B}"/>
            </a:ext>
          </a:extLst>
        </xdr:cNvPr>
        <xdr:cNvGrpSpPr/>
      </xdr:nvGrpSpPr>
      <xdr:grpSpPr>
        <a:xfrm>
          <a:off x="3058884" y="2362200"/>
          <a:ext cx="2743202" cy="1175658"/>
          <a:chOff x="5268685" y="1915885"/>
          <a:chExt cx="2971800" cy="1090927"/>
        </a:xfrm>
      </xdr:grpSpPr>
      <xdr:sp macro="" textlink="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64218AAA-7C81-266E-9007-83D2F730C5E6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4F3E40F1-C21E-BDEF-627E-088707BE7801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Avance</a:t>
            </a:r>
            <a:r>
              <a:rPr lang="es-US" sz="20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Promedio</a:t>
            </a:r>
            <a:endPara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D9">
        <xdr:nvSpPr>
          <xdr:cNvPr id="13" name="CuadroTexto 12">
            <a:extLst>
              <a:ext uri="{FF2B5EF4-FFF2-40B4-BE49-F238E27FC236}">
                <a16:creationId xmlns:a16="http://schemas.microsoft.com/office/drawing/2014/main" id="{A0F2879A-35D6-86E9-9035-E434442C2274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B4851F2-6C04-4E07-9DB0-978B226996A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0%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1110342</xdr:colOff>
      <xdr:row>7</xdr:row>
      <xdr:rowOff>76200</xdr:rowOff>
    </xdr:from>
    <xdr:to>
      <xdr:col>8</xdr:col>
      <xdr:colOff>968829</xdr:colOff>
      <xdr:row>9</xdr:row>
      <xdr:rowOff>293915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90EBC91-BA0A-4DDE-BDEC-DECF0ABF2480}"/>
            </a:ext>
          </a:extLst>
        </xdr:cNvPr>
        <xdr:cNvGrpSpPr/>
      </xdr:nvGrpSpPr>
      <xdr:grpSpPr>
        <a:xfrm>
          <a:off x="8033656" y="2362200"/>
          <a:ext cx="2122716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A2678D18-049A-9936-E779-FDC93692DD89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B0ACD719-F7DB-249A-8A8D-F8DFF900F73C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endParaRPr lang="es-US" sz="2000" b="1" baseline="0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r>
              <a:rPr lang="es-US" sz="20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proceso</a:t>
            </a:r>
            <a:endParaRPr lang="es-US" sz="20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17" name="CuadroTexto 16">
            <a:extLst>
              <a:ext uri="{FF2B5EF4-FFF2-40B4-BE49-F238E27FC236}">
                <a16:creationId xmlns:a16="http://schemas.microsoft.com/office/drawing/2014/main" id="{00E61288-087C-24A1-D729-98E19F0EF277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FFC301"/>
                </a:solidFill>
                <a:latin typeface="Aptos Narrow"/>
              </a:rPr>
              <a:pPr algn="ctr"/>
              <a:t>0</a:t>
            </a:fld>
            <a:endParaRPr lang="es-US" sz="1100">
              <a:solidFill>
                <a:srgbClr val="FFC301"/>
              </a:solidFill>
            </a:endParaRPr>
          </a:p>
        </xdr:txBody>
      </xdr:sp>
    </xdr:grpSp>
    <xdr:clientData/>
  </xdr:twoCellAnchor>
  <xdr:twoCellAnchor>
    <xdr:from>
      <xdr:col>8</xdr:col>
      <xdr:colOff>1099456</xdr:colOff>
      <xdr:row>7</xdr:row>
      <xdr:rowOff>65314</xdr:rowOff>
    </xdr:from>
    <xdr:to>
      <xdr:col>10</xdr:col>
      <xdr:colOff>957943</xdr:colOff>
      <xdr:row>10</xdr:row>
      <xdr:rowOff>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B36178DB-D283-48F7-9A83-74FB76C206F9}"/>
            </a:ext>
          </a:extLst>
        </xdr:cNvPr>
        <xdr:cNvGrpSpPr/>
      </xdr:nvGrpSpPr>
      <xdr:grpSpPr>
        <a:xfrm>
          <a:off x="10286999" y="2351314"/>
          <a:ext cx="2122715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B25DAAB6-8E83-E1E3-45C0-7EFA569F4398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0C4494B-1633-2777-1EC5-EB1508C6019A}"/>
              </a:ext>
            </a:extLst>
          </xdr:cNvPr>
          <xdr:cNvSpPr txBox="1"/>
        </xdr:nvSpPr>
        <xdr:spPr>
          <a:xfrm>
            <a:off x="5724175" y="2534018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Sin</a:t>
            </a:r>
            <a:r>
              <a:rPr lang="es-US" sz="2000" b="1" baseline="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iniciar</a:t>
            </a:r>
            <a:endParaRPr lang="es-US" sz="20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21" name="CuadroTexto 20">
            <a:extLst>
              <a:ext uri="{FF2B5EF4-FFF2-40B4-BE49-F238E27FC236}">
                <a16:creationId xmlns:a16="http://schemas.microsoft.com/office/drawing/2014/main" id="{EAD4F6FC-48C3-11CD-33FF-A2DAF4094358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552579"/>
                </a:solidFill>
                <a:latin typeface="Aptos Narrow"/>
              </a:rPr>
              <a:pPr algn="ctr"/>
              <a:t>0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10</xdr:col>
      <xdr:colOff>1110343</xdr:colOff>
      <xdr:row>7</xdr:row>
      <xdr:rowOff>65314</xdr:rowOff>
    </xdr:from>
    <xdr:to>
      <xdr:col>12</xdr:col>
      <xdr:colOff>968830</xdr:colOff>
      <xdr:row>10</xdr:row>
      <xdr:rowOff>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D2F89317-DA7C-42B6-AB08-CC123EB70FFF}"/>
            </a:ext>
          </a:extLst>
        </xdr:cNvPr>
        <xdr:cNvGrpSpPr/>
      </xdr:nvGrpSpPr>
      <xdr:grpSpPr>
        <a:xfrm>
          <a:off x="12562114" y="2351314"/>
          <a:ext cx="2122716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23" name="Rectángulo: esquinas redondeadas 22">
            <a:extLst>
              <a:ext uri="{FF2B5EF4-FFF2-40B4-BE49-F238E27FC236}">
                <a16:creationId xmlns:a16="http://schemas.microsoft.com/office/drawing/2014/main" id="{752FF404-7CF5-C2B5-336D-3FC249A98B7B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AFCC69D6-AD49-AE61-8AB9-B4CF64D05065}"/>
              </a:ext>
            </a:extLst>
          </xdr:cNvPr>
          <xdr:cNvSpPr txBox="1"/>
        </xdr:nvSpPr>
        <xdr:spPr>
          <a:xfrm>
            <a:off x="5510051" y="2534018"/>
            <a:ext cx="2564494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C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Crítico &lt;30%</a:t>
            </a:r>
          </a:p>
        </xdr:txBody>
      </xdr:sp>
      <xdr:sp macro="" textlink="L9">
        <xdr:nvSpPr>
          <xdr:cNvPr id="25" name="CuadroTexto 24">
            <a:extLst>
              <a:ext uri="{FF2B5EF4-FFF2-40B4-BE49-F238E27FC236}">
                <a16:creationId xmlns:a16="http://schemas.microsoft.com/office/drawing/2014/main" id="{1D207875-DD47-9E10-4965-B9A6A0E91461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B75FF56-1530-41D5-80CD-0DF37ABFBB2D}" type="TxLink">
              <a:rPr lang="en-US" sz="2800" b="1" i="0" u="none" strike="noStrike">
                <a:solidFill>
                  <a:srgbClr val="DC2626"/>
                </a:solidFill>
                <a:latin typeface="Aptos Narrow"/>
              </a:rPr>
              <a:pPr algn="ctr"/>
              <a:t>0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</xdr:col>
      <xdr:colOff>283028</xdr:colOff>
      <xdr:row>7</xdr:row>
      <xdr:rowOff>65314</xdr:rowOff>
    </xdr:from>
    <xdr:to>
      <xdr:col>1</xdr:col>
      <xdr:colOff>1910263</xdr:colOff>
      <xdr:row>8</xdr:row>
      <xdr:rowOff>542171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CC268D6-19A4-4F67-AB07-0619DF20510C}"/>
            </a:ext>
          </a:extLst>
        </xdr:cNvPr>
        <xdr:cNvSpPr txBox="1"/>
      </xdr:nvSpPr>
      <xdr:spPr>
        <a:xfrm>
          <a:off x="380999" y="2351314"/>
          <a:ext cx="1627235" cy="574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Programas</a:t>
          </a:r>
        </a:p>
      </xdr:txBody>
    </xdr:sp>
    <xdr:clientData/>
  </xdr:twoCellAnchor>
  <xdr:twoCellAnchor>
    <xdr:from>
      <xdr:col>1</xdr:col>
      <xdr:colOff>152399</xdr:colOff>
      <xdr:row>14</xdr:row>
      <xdr:rowOff>163283</xdr:rowOff>
    </xdr:from>
    <xdr:to>
      <xdr:col>1</xdr:col>
      <xdr:colOff>2166258</xdr:colOff>
      <xdr:row>16</xdr:row>
      <xdr:rowOff>283027</xdr:rowOff>
    </xdr:to>
    <xdr:grpSp>
      <xdr:nvGrpSpPr>
        <xdr:cNvPr id="1135" name="Grupo 29">
          <a:extLst>
            <a:ext uri="{FF2B5EF4-FFF2-40B4-BE49-F238E27FC236}">
              <a16:creationId xmlns:a16="http://schemas.microsoft.com/office/drawing/2014/main" id="{C98CD287-5DB5-AB8F-3BA8-02766117CD96}"/>
            </a:ext>
          </a:extLst>
        </xdr:cNvPr>
        <xdr:cNvGrpSpPr/>
      </xdr:nvGrpSpPr>
      <xdr:grpSpPr>
        <a:xfrm>
          <a:off x="250370" y="5018312"/>
          <a:ext cx="2013859" cy="1447801"/>
          <a:chOff x="250370" y="5018312"/>
          <a:chExt cx="2688773" cy="1447801"/>
        </a:xfrm>
      </xdr:grpSpPr>
      <xdr:sp macro="" textlink="">
        <xdr:nvSpPr>
          <xdr:cNvPr id="1136" name="Rectángulo: esquinas redondeadas 25">
            <a:extLst>
              <a:ext uri="{FF2B5EF4-FFF2-40B4-BE49-F238E27FC236}">
                <a16:creationId xmlns:a16="http://schemas.microsoft.com/office/drawing/2014/main" id="{57BFB40D-5B45-EC43-A91F-A5B80173CB0B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37" name="CuadroTexto 27">
            <a:extLst>
              <a:ext uri="{FF2B5EF4-FFF2-40B4-BE49-F238E27FC236}">
                <a16:creationId xmlns:a16="http://schemas.microsoft.com/office/drawing/2014/main" id="{9C18BC15-4E40-4AA1-AF2C-C4B0DE40D4D3}"/>
              </a:ext>
            </a:extLst>
          </xdr:cNvPr>
          <xdr:cNvSpPr txBox="1"/>
        </xdr:nvSpPr>
        <xdr:spPr>
          <a:xfrm>
            <a:off x="427672" y="5595257"/>
            <a:ext cx="215341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Académica</a:t>
            </a:r>
            <a:endParaRPr lang="es-US" sz="1800" b="1">
              <a:solidFill>
                <a:srgbClr val="E072BE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D$15">
        <xdr:nvSpPr>
          <xdr:cNvPr id="1138" name="CuadroTexto 28">
            <a:extLst>
              <a:ext uri="{FF2B5EF4-FFF2-40B4-BE49-F238E27FC236}">
                <a16:creationId xmlns:a16="http://schemas.microsoft.com/office/drawing/2014/main" id="{97E9AAF2-E8F9-940C-9785-EF7A206C74A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D9C114D-373B-4ADB-AE20-48FAC9EE7EA7}" type="TxLink">
              <a:rPr lang="en-US" sz="3200" b="1" i="0" u="none" strike="noStrike">
                <a:solidFill>
                  <a:srgbClr val="DF4185"/>
                </a:solidFill>
                <a:latin typeface="Aptos Narrow"/>
              </a:rPr>
              <a:pPr algn="ctr"/>
              <a:t>0%</a:t>
            </a:fld>
            <a:endParaRPr lang="es-US" sz="1600">
              <a:solidFill>
                <a:srgbClr val="DF4185"/>
              </a:solidFill>
            </a:endParaRPr>
          </a:p>
        </xdr:txBody>
      </xdr:sp>
    </xdr:grpSp>
    <xdr:clientData/>
  </xdr:twoCellAnchor>
  <xdr:twoCellAnchor>
    <xdr:from>
      <xdr:col>1</xdr:col>
      <xdr:colOff>2253342</xdr:colOff>
      <xdr:row>14</xdr:row>
      <xdr:rowOff>119740</xdr:rowOff>
    </xdr:from>
    <xdr:to>
      <xdr:col>3</xdr:col>
      <xdr:colOff>968830</xdr:colOff>
      <xdr:row>16</xdr:row>
      <xdr:rowOff>239484</xdr:rowOff>
    </xdr:to>
    <xdr:grpSp>
      <xdr:nvGrpSpPr>
        <xdr:cNvPr id="567" name="Grupo 30">
          <a:extLst>
            <a:ext uri="{FF2B5EF4-FFF2-40B4-BE49-F238E27FC236}">
              <a16:creationId xmlns:a16="http://schemas.microsoft.com/office/drawing/2014/main" id="{10CD121C-2A76-44C1-A3D1-104A26554129}"/>
            </a:ext>
          </a:extLst>
        </xdr:cNvPr>
        <xdr:cNvGrpSpPr/>
      </xdr:nvGrpSpPr>
      <xdr:grpSpPr>
        <a:xfrm>
          <a:off x="2351313" y="4974769"/>
          <a:ext cx="2144488" cy="1447801"/>
          <a:chOff x="195776" y="5029198"/>
          <a:chExt cx="2688773" cy="1447801"/>
        </a:xfrm>
      </xdr:grpSpPr>
      <xdr:sp macro="" textlink="">
        <xdr:nvSpPr>
          <xdr:cNvPr id="568" name="Rectángulo: esquinas redondeadas 31">
            <a:extLst>
              <a:ext uri="{FF2B5EF4-FFF2-40B4-BE49-F238E27FC236}">
                <a16:creationId xmlns:a16="http://schemas.microsoft.com/office/drawing/2014/main" id="{A34DA638-D1B1-7170-FF3B-3A89CDA46E47}"/>
              </a:ext>
            </a:extLst>
          </xdr:cNvPr>
          <xdr:cNvSpPr/>
        </xdr:nvSpPr>
        <xdr:spPr>
          <a:xfrm>
            <a:off x="195776" y="5029198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69" name="CuadroTexto 32">
            <a:extLst>
              <a:ext uri="{FF2B5EF4-FFF2-40B4-BE49-F238E27FC236}">
                <a16:creationId xmlns:a16="http://schemas.microsoft.com/office/drawing/2014/main" id="{3B80950D-FCA1-5698-4331-92B5F809FE87}"/>
              </a:ext>
            </a:extLst>
          </xdr:cNvPr>
          <xdr:cNvSpPr txBox="1"/>
        </xdr:nvSpPr>
        <xdr:spPr>
          <a:xfrm>
            <a:off x="443388" y="5671457"/>
            <a:ext cx="2084435" cy="6313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Financiera</a:t>
            </a:r>
            <a:endParaRPr lang="es-US" sz="18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G$15">
        <xdr:nvSpPr>
          <xdr:cNvPr id="570" name="CuadroTexto 33">
            <a:extLst>
              <a:ext uri="{FF2B5EF4-FFF2-40B4-BE49-F238E27FC236}">
                <a16:creationId xmlns:a16="http://schemas.microsoft.com/office/drawing/2014/main" id="{9C89EC40-2229-C0CE-050F-1FAA63EC87F2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255A719-855A-42CA-9C8F-6BA3C73C8E86}" type="TxLink">
              <a:rPr lang="en-US" sz="3200" b="1" i="0" u="none" strike="noStrike">
                <a:solidFill>
                  <a:srgbClr val="92D050"/>
                </a:solidFill>
                <a:latin typeface="Aptos Narrow"/>
              </a:rPr>
              <a:pPr algn="ctr"/>
              <a:t>0%</a:t>
            </a:fld>
            <a:endParaRPr lang="es-US" sz="2400">
              <a:solidFill>
                <a:srgbClr val="92D050"/>
              </a:solidFill>
            </a:endParaRPr>
          </a:p>
        </xdr:txBody>
      </xdr:sp>
    </xdr:grpSp>
    <xdr:clientData/>
  </xdr:twoCellAnchor>
  <xdr:twoCellAnchor>
    <xdr:from>
      <xdr:col>3</xdr:col>
      <xdr:colOff>1132115</xdr:colOff>
      <xdr:row>14</xdr:row>
      <xdr:rowOff>130626</xdr:rowOff>
    </xdr:from>
    <xdr:to>
      <xdr:col>5</xdr:col>
      <xdr:colOff>1066801</xdr:colOff>
      <xdr:row>16</xdr:row>
      <xdr:rowOff>250370</xdr:rowOff>
    </xdr:to>
    <xdr:grpSp>
      <xdr:nvGrpSpPr>
        <xdr:cNvPr id="575" name="Grupo 34">
          <a:extLst>
            <a:ext uri="{FF2B5EF4-FFF2-40B4-BE49-F238E27FC236}">
              <a16:creationId xmlns:a16="http://schemas.microsoft.com/office/drawing/2014/main" id="{D1BABFD9-D030-47A6-A12E-2389236A7559}"/>
            </a:ext>
          </a:extLst>
        </xdr:cNvPr>
        <xdr:cNvGrpSpPr/>
      </xdr:nvGrpSpPr>
      <xdr:grpSpPr>
        <a:xfrm>
          <a:off x="4659086" y="4985655"/>
          <a:ext cx="2198915" cy="1447801"/>
          <a:chOff x="250370" y="5018312"/>
          <a:chExt cx="2688773" cy="1447801"/>
        </a:xfrm>
      </xdr:grpSpPr>
      <xdr:sp macro="" textlink="">
        <xdr:nvSpPr>
          <xdr:cNvPr id="576" name="Rectángulo: esquinas redondeadas 35">
            <a:extLst>
              <a:ext uri="{FF2B5EF4-FFF2-40B4-BE49-F238E27FC236}">
                <a16:creationId xmlns:a16="http://schemas.microsoft.com/office/drawing/2014/main" id="{8699C127-E20D-3F4C-F25B-4872F7072F31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77" name="CuadroTexto 36">
            <a:extLst>
              <a:ext uri="{FF2B5EF4-FFF2-40B4-BE49-F238E27FC236}">
                <a16:creationId xmlns:a16="http://schemas.microsoft.com/office/drawing/2014/main" id="{E34830BA-230F-925F-B4CD-B01C809ED22D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Aseguramiento</a:t>
            </a:r>
            <a:r>
              <a:rPr lang="es-US" sz="1800" b="1" baseline="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la calidad</a:t>
            </a:r>
            <a:endParaRPr lang="es-US" sz="18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5">
        <xdr:nvSpPr>
          <xdr:cNvPr id="578" name="CuadroTexto 37">
            <a:extLst>
              <a:ext uri="{FF2B5EF4-FFF2-40B4-BE49-F238E27FC236}">
                <a16:creationId xmlns:a16="http://schemas.microsoft.com/office/drawing/2014/main" id="{FAF47DA2-3051-AC02-A667-64950BD807F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945B75A-6DB1-4976-ADE3-945197D38661}" type="TxLink">
              <a:rPr lang="en-US" sz="3600" b="1" i="0" u="none" strike="noStrike">
                <a:solidFill>
                  <a:srgbClr val="002060"/>
                </a:solidFill>
                <a:latin typeface="Aptos Narrow"/>
              </a:rPr>
              <a:pPr algn="ctr"/>
              <a:t>0%</a:t>
            </a:fld>
            <a:endParaRPr lang="es-US" sz="400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6</xdr:col>
      <xdr:colOff>43542</xdr:colOff>
      <xdr:row>14</xdr:row>
      <xdr:rowOff>108855</xdr:rowOff>
    </xdr:from>
    <xdr:to>
      <xdr:col>7</xdr:col>
      <xdr:colOff>729343</xdr:colOff>
      <xdr:row>16</xdr:row>
      <xdr:rowOff>228599</xdr:rowOff>
    </xdr:to>
    <xdr:grpSp>
      <xdr:nvGrpSpPr>
        <xdr:cNvPr id="599" name="Grupo 38">
          <a:extLst>
            <a:ext uri="{FF2B5EF4-FFF2-40B4-BE49-F238E27FC236}">
              <a16:creationId xmlns:a16="http://schemas.microsoft.com/office/drawing/2014/main" id="{B81E9E75-CD26-42C7-B800-4B409BC8992D}"/>
            </a:ext>
          </a:extLst>
        </xdr:cNvPr>
        <xdr:cNvGrpSpPr/>
      </xdr:nvGrpSpPr>
      <xdr:grpSpPr>
        <a:xfrm>
          <a:off x="6966856" y="4963884"/>
          <a:ext cx="1817916" cy="1447801"/>
          <a:chOff x="250370" y="5018312"/>
          <a:chExt cx="2688773" cy="1447801"/>
        </a:xfrm>
      </xdr:grpSpPr>
      <xdr:sp macro="" textlink="">
        <xdr:nvSpPr>
          <xdr:cNvPr id="600" name="Rectángulo: esquinas redondeadas 39">
            <a:extLst>
              <a:ext uri="{FF2B5EF4-FFF2-40B4-BE49-F238E27FC236}">
                <a16:creationId xmlns:a16="http://schemas.microsoft.com/office/drawing/2014/main" id="{2B2EDB98-8B27-5866-57CB-0B6874ACB1E8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601" name="CuadroTexto 40">
            <a:extLst>
              <a:ext uri="{FF2B5EF4-FFF2-40B4-BE49-F238E27FC236}">
                <a16:creationId xmlns:a16="http://schemas.microsoft.com/office/drawing/2014/main" id="{EA459EA4-3A20-B43C-4A19-AE6C7E23A925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Gerencia</a:t>
            </a:r>
            <a:r>
              <a:rPr lang="es-US" sz="18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Planeación</a:t>
            </a:r>
            <a:endParaRPr lang="es-US" sz="18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M$15">
        <xdr:nvSpPr>
          <xdr:cNvPr id="602" name="CuadroTexto 41">
            <a:extLst>
              <a:ext uri="{FF2B5EF4-FFF2-40B4-BE49-F238E27FC236}">
                <a16:creationId xmlns:a16="http://schemas.microsoft.com/office/drawing/2014/main" id="{104D15C6-A26B-943B-9136-5002395199E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6EFBC5D-5E9C-443E-8D82-025EA08AD48A}" type="TxLink">
              <a:rPr lang="en-US" sz="3600" b="1" i="0" u="none" strike="noStrike">
                <a:solidFill>
                  <a:srgbClr val="00B0F0"/>
                </a:solidFill>
                <a:latin typeface="Aptos Narrow"/>
              </a:rPr>
              <a:pPr algn="ctr"/>
              <a:t>0%</a:t>
            </a:fld>
            <a:endParaRPr lang="es-US" sz="60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925284</xdr:colOff>
      <xdr:row>14</xdr:row>
      <xdr:rowOff>108855</xdr:rowOff>
    </xdr:from>
    <xdr:to>
      <xdr:col>9</xdr:col>
      <xdr:colOff>468085</xdr:colOff>
      <xdr:row>16</xdr:row>
      <xdr:rowOff>228599</xdr:rowOff>
    </xdr:to>
    <xdr:grpSp>
      <xdr:nvGrpSpPr>
        <xdr:cNvPr id="903" name="Grupo 42">
          <a:extLst>
            <a:ext uri="{FF2B5EF4-FFF2-40B4-BE49-F238E27FC236}">
              <a16:creationId xmlns:a16="http://schemas.microsoft.com/office/drawing/2014/main" id="{C955B43D-DBD1-456D-90C2-E0CE6162D16F}"/>
            </a:ext>
          </a:extLst>
        </xdr:cNvPr>
        <xdr:cNvGrpSpPr/>
      </xdr:nvGrpSpPr>
      <xdr:grpSpPr>
        <a:xfrm>
          <a:off x="8980713" y="4963884"/>
          <a:ext cx="1807029" cy="1447801"/>
          <a:chOff x="250370" y="5018312"/>
          <a:chExt cx="2688773" cy="1447801"/>
        </a:xfrm>
      </xdr:grpSpPr>
      <xdr:sp macro="" textlink="">
        <xdr:nvSpPr>
          <xdr:cNvPr id="904" name="Rectángulo: esquinas redondeadas 43">
            <a:extLst>
              <a:ext uri="{FF2B5EF4-FFF2-40B4-BE49-F238E27FC236}">
                <a16:creationId xmlns:a16="http://schemas.microsoft.com/office/drawing/2014/main" id="{02631984-5457-BFF8-E033-B1C0A2F2730C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05" name="CuadroTexto 44">
            <a:extLst>
              <a:ext uri="{FF2B5EF4-FFF2-40B4-BE49-F238E27FC236}">
                <a16:creationId xmlns:a16="http://schemas.microsoft.com/office/drawing/2014/main" id="{99701280-88B6-D70A-53C5-2FC9FEBFDC94}"/>
              </a:ext>
            </a:extLst>
          </xdr:cNvPr>
          <xdr:cNvSpPr txBox="1"/>
        </xdr:nvSpPr>
        <xdr:spPr>
          <a:xfrm>
            <a:off x="458434" y="5758539"/>
            <a:ext cx="223365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1AA68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Producción de contenidos</a:t>
            </a:r>
          </a:p>
        </xdr:txBody>
      </xdr:sp>
      <xdr:sp macro="" textlink="D$19">
        <xdr:nvSpPr>
          <xdr:cNvPr id="906" name="CuadroTexto 45">
            <a:extLst>
              <a:ext uri="{FF2B5EF4-FFF2-40B4-BE49-F238E27FC236}">
                <a16:creationId xmlns:a16="http://schemas.microsoft.com/office/drawing/2014/main" id="{5D179432-C193-9C84-02AD-4CB8D5E2D4FE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8C169DB-18F2-4F54-8C50-FF1A3F0B5E84}" type="TxLink">
              <a:rPr lang="en-US" sz="3600" b="1" i="0" u="none" strike="noStrike">
                <a:solidFill>
                  <a:srgbClr val="127057"/>
                </a:solidFill>
                <a:latin typeface="Aptos Narrow"/>
              </a:rPr>
              <a:pPr algn="ctr"/>
              <a:t>0%</a:t>
            </a:fld>
            <a:endParaRPr lang="es-US" sz="8800">
              <a:solidFill>
                <a:srgbClr val="127057"/>
              </a:solidFill>
            </a:endParaRPr>
          </a:p>
        </xdr:txBody>
      </xdr:sp>
    </xdr:grpSp>
    <xdr:clientData/>
  </xdr:twoCellAnchor>
  <xdr:twoCellAnchor>
    <xdr:from>
      <xdr:col>9</xdr:col>
      <xdr:colOff>598713</xdr:colOff>
      <xdr:row>14</xdr:row>
      <xdr:rowOff>108855</xdr:rowOff>
    </xdr:from>
    <xdr:to>
      <xdr:col>11</xdr:col>
      <xdr:colOff>141514</xdr:colOff>
      <xdr:row>16</xdr:row>
      <xdr:rowOff>228599</xdr:rowOff>
    </xdr:to>
    <xdr:grpSp>
      <xdr:nvGrpSpPr>
        <xdr:cNvPr id="935" name="Grupo 46">
          <a:extLst>
            <a:ext uri="{FF2B5EF4-FFF2-40B4-BE49-F238E27FC236}">
              <a16:creationId xmlns:a16="http://schemas.microsoft.com/office/drawing/2014/main" id="{DC8F64D3-2364-41B4-9945-0BE769F8ACB4}"/>
            </a:ext>
          </a:extLst>
        </xdr:cNvPr>
        <xdr:cNvGrpSpPr/>
      </xdr:nvGrpSpPr>
      <xdr:grpSpPr>
        <a:xfrm>
          <a:off x="10918370" y="4963884"/>
          <a:ext cx="1807030" cy="1447801"/>
          <a:chOff x="250370" y="5018312"/>
          <a:chExt cx="2688773" cy="1447801"/>
        </a:xfrm>
      </xdr:grpSpPr>
      <xdr:sp macro="" textlink="">
        <xdr:nvSpPr>
          <xdr:cNvPr id="936" name="Rectángulo: esquinas redondeadas 47">
            <a:extLst>
              <a:ext uri="{FF2B5EF4-FFF2-40B4-BE49-F238E27FC236}">
                <a16:creationId xmlns:a16="http://schemas.microsoft.com/office/drawing/2014/main" id="{10830F06-613E-B090-F059-0AC69DD98A86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37" name="CuadroTexto 48">
            <a:extLst>
              <a:ext uri="{FF2B5EF4-FFF2-40B4-BE49-F238E27FC236}">
                <a16:creationId xmlns:a16="http://schemas.microsoft.com/office/drawing/2014/main" id="{73D107B3-2D8F-DDEE-3C20-94DEF9019ECC}"/>
              </a:ext>
            </a:extLst>
          </xdr:cNvPr>
          <xdr:cNvSpPr txBox="1"/>
        </xdr:nvSpPr>
        <xdr:spPr>
          <a:xfrm>
            <a:off x="346402" y="5769425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Convenios</a:t>
            </a:r>
            <a:r>
              <a:rPr lang="es-US" sz="18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Institucionales</a:t>
            </a:r>
            <a:endParaRPr lang="es-US" sz="18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G$19">
        <xdr:nvSpPr>
          <xdr:cNvPr id="938" name="CuadroTexto 49">
            <a:extLst>
              <a:ext uri="{FF2B5EF4-FFF2-40B4-BE49-F238E27FC236}">
                <a16:creationId xmlns:a16="http://schemas.microsoft.com/office/drawing/2014/main" id="{7D9CABE9-F17D-7EAB-22C7-9C0A9917EBF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52FFAAB-0B4C-41BA-819E-E2F8723A1E9E}" type="TxLink">
              <a:rPr lang="en-US" sz="3600" b="1" i="0" u="none" strike="noStrike">
                <a:solidFill>
                  <a:srgbClr val="FFC000"/>
                </a:solidFill>
                <a:latin typeface="Aptos Narrow"/>
              </a:rPr>
              <a:pPr algn="ctr"/>
              <a:t>0%</a:t>
            </a:fld>
            <a:endParaRPr lang="es-US" sz="8800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12</xdr:col>
      <xdr:colOff>348342</xdr:colOff>
      <xdr:row>13</xdr:row>
      <xdr:rowOff>27210</xdr:rowOff>
    </xdr:from>
    <xdr:to>
      <xdr:col>14</xdr:col>
      <xdr:colOff>884464</xdr:colOff>
      <xdr:row>17</xdr:row>
      <xdr:rowOff>54428</xdr:rowOff>
    </xdr:to>
    <xdr:grpSp>
      <xdr:nvGrpSpPr>
        <xdr:cNvPr id="1180" name="Grupo 50">
          <a:extLst>
            <a:ext uri="{FF2B5EF4-FFF2-40B4-BE49-F238E27FC236}">
              <a16:creationId xmlns:a16="http://schemas.microsoft.com/office/drawing/2014/main" id="{3A9859C9-5D9D-4323-ACB2-27EB00716044}"/>
            </a:ext>
          </a:extLst>
        </xdr:cNvPr>
        <xdr:cNvGrpSpPr/>
      </xdr:nvGrpSpPr>
      <xdr:grpSpPr>
        <a:xfrm>
          <a:off x="14064342" y="4599210"/>
          <a:ext cx="2800351" cy="1943104"/>
          <a:chOff x="250370" y="5018312"/>
          <a:chExt cx="2688773" cy="1447801"/>
        </a:xfrm>
      </xdr:grpSpPr>
      <xdr:sp macro="" textlink="">
        <xdr:nvSpPr>
          <xdr:cNvPr id="1181" name="Rectángulo: esquinas redondeadas 51">
            <a:extLst>
              <a:ext uri="{FF2B5EF4-FFF2-40B4-BE49-F238E27FC236}">
                <a16:creationId xmlns:a16="http://schemas.microsoft.com/office/drawing/2014/main" id="{EED05F58-7E40-5355-77F6-9752DE20A9FD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82" name="CuadroTexto 52">
            <a:extLst>
              <a:ext uri="{FF2B5EF4-FFF2-40B4-BE49-F238E27FC236}">
                <a16:creationId xmlns:a16="http://schemas.microsoft.com/office/drawing/2014/main" id="{626D1A4E-6F28-CE02-14A8-9294B7852C68}"/>
              </a:ext>
            </a:extLst>
          </xdr:cNvPr>
          <xdr:cNvSpPr txBox="1"/>
        </xdr:nvSpPr>
        <xdr:spPr>
          <a:xfrm>
            <a:off x="320473" y="5585901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Parametrización</a:t>
            </a:r>
            <a:r>
              <a:rPr lang="es-US" sz="1800" b="1" baseline="0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Banner</a:t>
            </a:r>
            <a:endParaRPr lang="es-US" sz="1800" b="1">
              <a:solidFill>
                <a:srgbClr val="8738C8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9">
        <xdr:nvSpPr>
          <xdr:cNvPr id="1183" name="CuadroTexto 53">
            <a:extLst>
              <a:ext uri="{FF2B5EF4-FFF2-40B4-BE49-F238E27FC236}">
                <a16:creationId xmlns:a16="http://schemas.microsoft.com/office/drawing/2014/main" id="{456A2EEF-ABFE-57A3-A252-B053C486E9CB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5A11856-87EC-4359-B8BD-47B2729941A3}" type="TxLink">
              <a:rPr lang="en-US" sz="3600" b="1" i="0" u="none" strike="noStrike">
                <a:solidFill>
                  <a:srgbClr val="8738C8"/>
                </a:solidFill>
                <a:latin typeface="Aptos Narrow"/>
              </a:rPr>
              <a:pPr algn="ctr"/>
              <a:t>0%</a:t>
            </a:fld>
            <a:endParaRPr lang="es-US" sz="16600">
              <a:solidFill>
                <a:srgbClr val="8738C8"/>
              </a:solidFill>
            </a:endParaRPr>
          </a:p>
        </xdr:txBody>
      </xdr:sp>
    </xdr:grpSp>
    <xdr:clientData/>
  </xdr:twoCellAnchor>
  <xdr:twoCellAnchor>
    <xdr:from>
      <xdr:col>12</xdr:col>
      <xdr:colOff>429985</xdr:colOff>
      <xdr:row>15</xdr:row>
      <xdr:rowOff>544282</xdr:rowOff>
    </xdr:from>
    <xdr:to>
      <xdr:col>14</xdr:col>
      <xdr:colOff>781322</xdr:colOff>
      <xdr:row>17</xdr:row>
      <xdr:rowOff>215771</xdr:rowOff>
    </xdr:to>
    <xdr:sp macro="" textlink="H21">
      <xdr:nvSpPr>
        <xdr:cNvPr id="1179" name="CuadroTexto 54">
          <a:extLst>
            <a:ext uri="{FF2B5EF4-FFF2-40B4-BE49-F238E27FC236}">
              <a16:creationId xmlns:a16="http://schemas.microsoft.com/office/drawing/2014/main" id="{5AAFD276-DEA8-4A39-BBF3-64BDB3704DAE}"/>
            </a:ext>
          </a:extLst>
        </xdr:cNvPr>
        <xdr:cNvSpPr txBox="1"/>
      </xdr:nvSpPr>
      <xdr:spPr>
        <a:xfrm>
          <a:off x="14241235" y="5823853"/>
          <a:ext cx="2637337" cy="828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E818F94-092A-468E-9733-CBB8ECADCBDB}" type="TxLink">
            <a:rPr lang="en-US" sz="1600" b="0" i="0" u="none" strike="noStrike">
              <a:solidFill>
                <a:srgbClr val="475569"/>
              </a:solidFill>
              <a:latin typeface="Aptos Narrow"/>
              <a:cs typeface="Times New Roman" panose="02020603050405020304" pitchFamily="18" charset="0"/>
            </a:rPr>
            <a:pPr algn="ctr"/>
            <a:t>✔ 0  Final.     ◑ 0  En proc.     ○ 0  Sin inic.     — 0  N/A</a:t>
          </a:fld>
          <a:endParaRPr lang="es-US" sz="4000" b="1">
            <a:solidFill>
              <a:srgbClr val="8738C8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imen\Downloads\CONTROL%20MAESTRO%20DE%20REFORMA%20CURRICULAR%20rev.xlsx" TargetMode="External"/><Relationship Id="rId1" Type="http://schemas.openxmlformats.org/officeDocument/2006/relationships/externalLinkPath" Target="CONTROL%20MAESTRO%20DE%20REFORMA%20CURRICULAR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Dashboard"/>
      <sheetName val="Borrador"/>
      <sheetName val="Borrador (2)"/>
      <sheetName val="Maestro"/>
      <sheetName val="Hoja1"/>
      <sheetName val="Resumen Ejecutivo -COP"/>
      <sheetName val="Resumen Ejecutivo"/>
      <sheetName val="CONTROL MAESTRO DE REFORMA CURR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liana Consuelo Bernal Higuera" id="{4341C656-E550-4561-B989-643F593B1DF3}" userId="S::lbernal@poligran.edu.co::12d6b143-6ba8-41e9-b134-b0d682ccfb70" providerId="AD"/>
  <person displayName="Miguel Angel Lopez Triana" id="{50939F03-D7B1-4187-8167-C0C856D810B7}" userId="S::manlopez@poligran.edu.co::946944e9-d44e-4943-9ccb-a26955c9af7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2B81F-42B0-42CE-8024-EAD267A2A087}" name="Tabla2" displayName="Tabla2" ref="C10:AY70" totalsRowShown="0" tableBorderDxfId="695">
  <autoFilter ref="C10:AY70" xr:uid="{2702B81F-42B0-42CE-8024-EAD267A2A087}"/>
  <tableColumns count="49">
    <tableColumn id="1" xr3:uid="{20A3EBC3-3DAF-4FB8-9EE8-783061139F75}" name="FACULTAD " dataDxfId="694" dataCellStyle="Normal 2"/>
    <tableColumn id="2" xr3:uid="{D028144E-8876-4666-A616-748ECA8EBAB7}" name="ESCUELA " dataDxfId="693" dataCellStyle="Normal 2"/>
    <tableColumn id="3" xr3:uid="{1CE9EC88-A183-42EA-9C04-AC26BBC97E8E}" name="NOMBRE DEL PROGRAMA"/>
    <tableColumn id="4" xr3:uid="{2EFAD5DC-BB89-46D3-9FC8-3F55A7936A46}" name="MODALIDAD " dataDxfId="692" dataCellStyle="Normal 2"/>
    <tableColumn id="5" xr3:uid="{A82C0495-17CD-4853-BC2D-598A9BE98ED9}" name="NIVEL " dataDxfId="691" dataCellStyle="Normal 2"/>
    <tableColumn id="6" xr3:uid="{A2734990-A055-4FF8-9E05-D65BDDFB9F2B}" name="SEDE" dataDxfId="690" dataCellStyle="Normal 2"/>
    <tableColumn id="7" xr3:uid="{67253687-A94A-42D1-9697-5091A9F94BFF}" name="SNIES VIGENTE " dataDxfId="689"/>
    <tableColumn id="8" xr3:uid="{88E2041F-6B31-4A2C-9E79-2B4471FFD8C0}" name="Formato creación de programas Banner" dataDxfId="688"/>
    <tableColumn id="9" xr3:uid="{135B0583-9D8C-42AB-A884-47E97945D128}" name="Instrumento de verificación curricular" dataDxfId="687"/>
    <tableColumn id="10" xr3:uid="{3559F58B-EC8A-4DB3-BC40-DAD5A32EAF3E}" name="LA REFORMA CUMPLE CON LA POLITICA CURRICULAR " dataDxfId="686"/>
    <tableColumn id="11" xr3:uid="{DEBBC1F6-CF16-424A-B06D-D886277D783E}" name="Formato RA_x000a_Escuelas" dataDxfId="685" dataCellStyle="Normal 2"/>
    <tableColumn id="12" xr3:uid="{108600FC-3626-4D1E-B130-742350B73E0C}" name="Formato RA_x000a_Aseguramiento de la Calidad" dataDxfId="684" dataCellStyle="Normal 2"/>
    <tableColumn id="13" xr3:uid="{2E1205FE-0F61-4D78-A5A0-856853FED427}" name="Acta de consejo de facultad" dataDxfId="683"/>
    <tableColumn id="14" xr3:uid="{025EF1F8-8700-400A-90D5-DFCC902BE8D8}" name="SYLLABUS COMPLETOS" dataDxfId="682"/>
    <tableColumn id="15" xr3:uid="{9508264F-6B88-4B3B-B65E-534F07C62BE1}" name="PLAN DE VIRTUALIZACIÓN " dataDxfId="681"/>
    <tableColumn id="16" xr3:uid="{04F16A62-66FE-4DBB-B66D-4AF86EF8CCAE}" name="Formato de proyecciones académicas y financieras" dataDxfId="680"/>
    <tableColumn id="17" xr3:uid="{F3436AC1-2E2F-4B61-9E0D-2AB50B94DED3}" name="CONCEPTO SECRETARIA ACADÉMICA Y DOCENCIA" dataDxfId="679"/>
    <tableColumn id="18" xr3:uid="{44A8096A-56AA-470C-A2CB-DB4EFC61105E}" name="CONCEPTO FINANCIERO" dataDxfId="678"/>
    <tableColumn id="19" xr3:uid="{A7FB8043-DDB2-4E69-BC0F-A7B528CE1694}" name="APROBACIÓN IMPLEMENTACIÓN " dataDxfId="677"/>
    <tableColumn id="20" xr3:uid="{B1398148-35F8-4BB3-9DE1-6A13BBEF5C82}" name="Tipo de trámite de aseguramiento de la calidad " dataDxfId="676"/>
    <tableColumn id="21" xr3:uid="{19E9529F-5B79-49D2-87E4-E3FE0F3B19DA}" name="Estado del trámite" dataDxfId="675"/>
    <tableColumn id="22" xr3:uid="{9879528A-2063-414A-9C84-3D5118CCE759}" name="Fecha de_x000a_Documentos de notificación MEN"/>
    <tableColumn id="23" xr3:uid="{38EF0233-764B-4258-8441-86A2C6F0F4B2}" name="APROBACIÓN CONSEJO DE DELEGADOS _x000a_# acta " dataDxfId="674"/>
    <tableColumn id="24" xr3:uid="{28033A7F-E299-497F-A943-88B7B2BE006F}" name="¿Requiere aprobación ministerial?" dataDxfId="673"/>
    <tableColumn id="25" xr3:uid="{C601BE83-FBA5-4DE0-A7C8-197A9A9BBDA8}" name="APROBACIÓN MINISTERIO DE EDUCACIÓN _x000a_# resolución" dataDxfId="672"/>
    <tableColumn id="26" xr3:uid="{82E7A889-3964-4CEC-ACFF-3251F08D0FE9}" name="CORREO PARA IMPLEMENTACIÓN" dataDxfId="671"/>
    <tableColumn id="27" xr3:uid="{FAD6E183-0DF2-4A25-92B0-E9326F93564C}" name="NÚMERO DE MÓDULOS NUEVOS" dataDxfId="670"/>
    <tableColumn id="28" xr3:uid="{D1CFD773-52B1-4852-B832-CA6CDAA79B4D}" name="NÚMERO DE MÓDULOS POR ACTUALIZAR" dataDxfId="669"/>
    <tableColumn id="29" xr3:uid="{000AF496-27CC-45D2-8C1B-857B4DE51652}" name="TOTAL  MÓDULOS CON CAMBIOS " dataDxfId="668"/>
    <tableColumn id="30" xr3:uid="{C36E1F6A-C3C0-4870-86EF-305211A45DA4}" name="FECHA INICIO " dataDxfId="667"/>
    <tableColumn id="31" xr3:uid="{41D62A19-F97B-4BA4-BF9C-5B71556988C3}" name="FECHA FIN " dataDxfId="666"/>
    <tableColumn id="32" xr3:uid="{3D26E35C-F690-4210-A23A-4E295F10D24D}" name="% avance contenidos virtuales" dataDxfId="665"/>
    <tableColumn id="33" xr3:uid="{C225E0FD-F933-49AC-B529-8332BEACB093}" name="Acta de homologación" dataDxfId="664"/>
    <tableColumn id="34" xr3:uid="{B4F8DB9D-103A-453D-8F35-FDB42CF04974}" name="Ruta sugerida programa homologación/articulación convenio" dataDxfId="663"/>
    <tableColumn id="35" xr3:uid="{882827BF-CE49-4742-BBAE-2A3BBF70BC6C}" name="Formato reconocimiento de competencias o resultados de aprendizaje para homologación" dataDxfId="662"/>
    <tableColumn id="36" xr3:uid="{24C494D9-7310-4F8F-B11D-B61C217EFD83}" name="Formato acta currículo articulación SENA" dataDxfId="661"/>
    <tableColumn id="37" xr3:uid="{4DB9B283-387E-4A50-8048-240EC0E21F54}" name="Formato acta currículo homologación/convenios" dataDxfId="660"/>
    <tableColumn id="38" xr3:uid="{732FB30C-6247-4B14-A83B-0E0D80C2443E}" name="% avance " dataDxfId="659"/>
    <tableColumn id="39" xr3:uid="{4A533727-9626-41DC-B313-0FCF46692090}" name="Aulas  máster nueva" dataDxfId="658"/>
    <tableColumn id="40" xr3:uid="{60ADFF34-9529-4BBF-B0C5-AFECCD10BB30}" name="Aulas máster actualizada" dataDxfId="657"/>
    <tableColumn id="41" xr3:uid="{1219C52E-02FA-472A-A844-E113611D5AEC}" name="Parametrizar y configurar actividades evaluativas" dataDxfId="656"/>
    <tableColumn id="42" xr3:uid="{B3DBC2C2-A0DA-4250-8BA9-3CEF5DE2EA2C}" name="Configurar plan de estudios en Banner" dataDxfId="655"/>
    <tableColumn id="43" xr3:uid="{F36AFE5D-35EC-41EE-ADB2-5F5DC7C049FD}" name="Elaborar plan de estudios pdf" dataDxfId="654"/>
    <tableColumn id="44" xr3:uid="{DD8360D4-BF89-410A-944E-2A075CEA0F01}" name="Publicar plan de estudios en Web" dataDxfId="653"/>
    <tableColumn id="45" xr3:uid="{ACCBB2F6-8E5C-4057-8E03-BF0DCC1CF869}" name="Planeación la formación a los equipos comerciales y de servicio " dataDxfId="652"/>
    <tableColumn id="46" xr3:uid="{9B4E7DCB-AFEB-4AA8-A8E9-1F8234A38E68}" name="FECHA DE CREACIÓN OFERTA" dataDxfId="651"/>
    <tableColumn id="47" xr3:uid="{72FB1ED5-BBF7-4217-B10E-803EA1349111}" name="FECHA INICIO MATRÍCULAS" dataDxfId="650"/>
    <tableColumn id="48" xr3:uid="{DDC9E6BB-9AB9-4E7F-B2DA-E1A674E44FE0}" name="PERIODO DE IMPLEMENTACIÓN " dataDxfId="649" dataCellStyle="Normal 2"/>
    <tableColumn id="49" xr3:uid="{59BAC39A-835C-4395-9DB7-0AD7DB2CD3A3}" name="ESTADO GENERAL DE LA REFORM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4909E1DA-D04D-459F-A755-C874E2A2376C}">
    <text>Diligencia Maria Isabel</text>
  </threadedComment>
  <threadedComment ref="S9" dT="2026-03-06T14:38:18.61" personId="{50939F03-D7B1-4187-8167-C0C856D810B7}" id="{C5EACC81-0278-4BD6-BE1C-328BE6CEF044}">
    <text>Diligencia Diana Baquero</text>
  </threadedComment>
  <threadedComment ref="T9" dT="2026-03-10T20:06:51.41" personId="{50939F03-D7B1-4187-8167-C0C856D810B7}" id="{07A9C90F-C4AF-4058-8369-82DC7D82B304}">
    <text>Diligencia Lina Giraldo</text>
  </threadedComment>
  <threadedComment ref="U9" dT="2026-03-10T20:06:40.42" personId="{50939F03-D7B1-4187-8167-C0C856D810B7}" id="{33379761-7408-47CA-A73F-96920D166F6F}">
    <text xml:space="preserve">Diligencia Diana Baquero
</text>
  </threadedComment>
  <threadedComment ref="AA9" dT="2026-03-06T14:38:33.39" personId="{50939F03-D7B1-4187-8167-C0C856D810B7}" id="{DA888406-B3C3-47EB-94C0-AD38A44E0A0E}">
    <text>Diligencia Hector</text>
  </threadedComment>
  <threadedComment ref="AL9" dT="2026-03-06T14:39:14.03" personId="{50939F03-D7B1-4187-8167-C0C856D810B7}" id="{AB292E73-2881-46CA-A2EC-13F131DCF115}">
    <text>Diligencia Luis Martín / Jonathan Camilo</text>
  </threadedComment>
  <threadedComment ref="AR9" dT="2026-03-05T22:19:31.08" personId="{50939F03-D7B1-4187-8167-C0C856D810B7}" id="{469532B5-891A-4F4C-925C-AFAB7020C3BF}">
    <text xml:space="preserve">Diligencia Yady fernanda
</text>
  </threadedComment>
  <threadedComment ref="BD9" dT="2026-03-06T14:40:04.77" personId="{50939F03-D7B1-4187-8167-C0C856D810B7}" id="{4F4D565E-CBAD-4B43-8202-B4F4327A7F61}">
    <text>Diligencia Ivonne</text>
  </threadedComment>
  <threadedComment ref="BQ9" dT="2026-03-06T14:40:27.91" personId="{50939F03-D7B1-4187-8167-C0C856D810B7}" id="{7492BF5A-A8EA-4806-BFAF-95DE22CE85C5}">
    <text>Diligencia Laura Barrera</text>
  </threadedComment>
  <threadedComment ref="AD10" dT="2026-02-02T23:22:00.00" personId="{4341C656-E550-4561-B989-643F593B1DF3}" id="{EBC3B04C-562F-4E8D-B1E3-F992E17EAF0F}">
    <text xml:space="preserve">Aprobación interna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9" dT="2026-03-06T14:37:40.84" personId="{50939F03-D7B1-4187-8167-C0C856D810B7}" id="{28C15EAC-0944-4075-BA74-FBE4EECE24C1}">
    <text>Diligencia Maria Isabel</text>
  </threadedComment>
  <threadedComment ref="AD9" dT="2026-03-06T14:37:40.84" personId="{50939F03-D7B1-4187-8167-C0C856D810B7}" id="{4A809DB3-6ACE-4F2C-859F-ECEC3B017E42}">
    <text>Diligencia Maria Isabel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AB1486C7-AA92-4748-891B-886743035FDC}">
    <text>Diligencia Maria Isabel</text>
  </threadedComment>
  <threadedComment ref="R9" dT="2026-03-06T14:38:18.61" personId="{50939F03-D7B1-4187-8167-C0C856D810B7}" id="{5E2A0871-3C6A-43AF-B856-9A20F44C0E24}">
    <text>Diligencia Diana Baquero</text>
  </threadedComment>
  <threadedComment ref="S9" dT="2026-03-10T20:06:51.41" personId="{50939F03-D7B1-4187-8167-C0C856D810B7}" id="{D2E187A2-AF3B-4B43-AD8A-5A22A99E567B}">
    <text>Diligencia Lina Giraldo</text>
  </threadedComment>
  <threadedComment ref="T9" dT="2026-03-10T20:06:40.42" personId="{50939F03-D7B1-4187-8167-C0C856D810B7}" id="{ED914BC0-A9AD-4460-B4AD-64B21C38754F}">
    <text xml:space="preserve">Diligencia Diana Baquero
</text>
  </threadedComment>
  <threadedComment ref="V9" dT="2026-03-06T14:38:33.39" personId="{50939F03-D7B1-4187-8167-C0C856D810B7}" id="{AC196D12-BAF7-4D77-BB76-8DDDB1D1AAED}">
    <text>Diligencia Hector</text>
  </threadedComment>
  <threadedComment ref="AC9" dT="2026-03-06T14:39:14.03" personId="{50939F03-D7B1-4187-8167-C0C856D810B7}" id="{B5416B51-2416-4442-87A8-60557435D0C6}">
    <text>Diligencia Luis Martín / Jonathan Camilo</text>
  </threadedComment>
  <threadedComment ref="AI9" dT="2026-03-05T22:19:31.08" personId="{50939F03-D7B1-4187-8167-C0C856D810B7}" id="{AF20519C-A4E1-4A0C-9814-C243E278D15B}">
    <text xml:space="preserve">Diligencia Yady fernanda
</text>
  </threadedComment>
  <threadedComment ref="AO9" dT="2026-03-06T14:40:04.77" personId="{50939F03-D7B1-4187-8167-C0C856D810B7}" id="{6A140D46-EDD4-4F6C-AA4F-2CBC120DF7BC}">
    <text>Diligencia Ivonne</text>
  </threadedComment>
  <threadedComment ref="AS9" dT="2026-03-06T14:40:27.91" personId="{50939F03-D7B1-4187-8167-C0C856D810B7}" id="{1D6AE7E6-0283-49B1-9DFE-C7D5B111CED2}">
    <text>Diligencia Laura Barrera</text>
  </threadedComment>
  <threadedComment ref="R10" dT="2026-03-06T14:38:18.61" personId="{50939F03-D7B1-4187-8167-C0C856D810B7}" id="{E74F1B1E-CE79-46D3-807A-5DC12A7AF859}">
    <text>Diligencia Diana Baquero</text>
  </threadedComment>
  <threadedComment ref="S10" dT="2026-03-10T20:06:51.41" personId="{50939F03-D7B1-4187-8167-C0C856D810B7}" id="{AA67B0D4-AF29-4510-BBF9-3D69C706909F}">
    <text>Diligencia Lina Giraldo</text>
  </threadedComment>
  <threadedComment ref="T10" dT="2026-03-10T20:06:40.42" personId="{50939F03-D7B1-4187-8167-C0C856D810B7}" id="{E23E8F9A-23D4-451D-B6DF-68EA924C4E68}">
    <text xml:space="preserve">Diligencia Diana Baquero
</text>
  </threadedComment>
  <threadedComment ref="Y10" dT="2026-02-02T23:22:00.00" personId="{4341C656-E550-4561-B989-643F593B1DF3}" id="{0C99F784-E3FA-43BC-809B-1404E6FC59EA}">
    <text xml:space="preserve">Aprobación interna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6-03-06T14:38:18.61" personId="{50939F03-D7B1-4187-8167-C0C856D810B7}" id="{3D8D95EC-E3AE-4A32-8BE6-752AA4DE3B2A}">
    <text>Diligencia Diana Baquero</text>
  </threadedComment>
  <threadedComment ref="B14" dT="2026-03-06T14:38:18.61" personId="{50939F03-D7B1-4187-8167-C0C856D810B7}" id="{6CD20443-83D8-4BD3-A822-701BF3EC7215}">
    <text>Diligencia Diana Baquero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" dT="2026-03-06T14:38:18.61" personId="{50939F03-D7B1-4187-8167-C0C856D810B7}" id="{243354BE-D8F0-45DF-A6E5-F55CAC4D8EC2}">
    <text>Diligencia Diana Baquero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420E93-7784-40AE-B6A6-FB22C4BA5F3E}">
  <we:reference id="wa200009404" version="1.0.0.5" store="es-E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AD37-ABCF-4C9D-A3B0-4BDB48235CAD}">
  <sheetPr codeName="Hoja1">
    <tabColor rgb="FF0E2841"/>
  </sheetPr>
  <dimension ref="A1:Q179"/>
  <sheetViews>
    <sheetView showGridLines="0" zoomScale="70" zoomScaleNormal="70" workbookViewId="0">
      <pane ySplit="1" topLeftCell="A3" activePane="bottomLeft" state="frozen"/>
      <selection activeCell="B15" sqref="B15"/>
      <selection pane="bottomLeft" activeCell="B15" sqref="B15"/>
    </sheetView>
  </sheetViews>
  <sheetFormatPr baseColWidth="10" defaultColWidth="11.44140625" defaultRowHeight="14.4" x14ac:dyDescent="0.3"/>
  <cols>
    <col min="1" max="1" width="1.44140625" customWidth="1"/>
    <col min="2" max="2" width="33.44140625" customWidth="1"/>
    <col min="3" max="16" width="16.5546875" customWidth="1"/>
  </cols>
  <sheetData>
    <row r="1" spans="1:17" ht="21" x14ac:dyDescent="0.3">
      <c r="A1" s="181"/>
      <c r="B1" s="188" t="s">
        <v>0</v>
      </c>
      <c r="C1" s="189" t="s">
        <v>1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90" t="s">
        <v>2</v>
      </c>
      <c r="P1" s="270" t="s">
        <v>3</v>
      </c>
    </row>
    <row r="2" spans="1:17" ht="21" x14ac:dyDescent="0.3">
      <c r="A2" s="181"/>
      <c r="B2" s="188"/>
      <c r="C2" s="189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90"/>
      <c r="P2" s="270" t="s">
        <v>4</v>
      </c>
    </row>
    <row r="3" spans="1:17" s="269" customFormat="1" ht="41.1" customHeight="1" x14ac:dyDescent="0.35">
      <c r="A3" s="265"/>
      <c r="B3" s="266" t="s">
        <v>5</v>
      </c>
      <c r="C3" s="263" t="s">
        <v>6</v>
      </c>
      <c r="D3" s="265"/>
      <c r="E3" s="394" t="s">
        <v>7</v>
      </c>
      <c r="F3" s="395"/>
      <c r="G3" s="396"/>
      <c r="H3" s="263" t="s">
        <v>8</v>
      </c>
      <c r="I3" s="267" t="s">
        <v>9</v>
      </c>
      <c r="J3" s="265"/>
      <c r="K3" s="265"/>
      <c r="L3" s="265"/>
      <c r="M3" s="264" t="str" cm="1">
        <f t="array" ref="M3">CONCATENATE("Mostrando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de 60 programas")</f>
        <v>Mostrando 0 de 60 programas</v>
      </c>
      <c r="N3" s="265"/>
      <c r="O3" s="268"/>
      <c r="P3" s="271" t="s">
        <v>10</v>
      </c>
      <c r="Q3"/>
    </row>
    <row r="4" spans="1:17" x14ac:dyDescent="0.3">
      <c r="P4" s="270" t="s">
        <v>7</v>
      </c>
    </row>
    <row r="5" spans="1:17" ht="21" x14ac:dyDescent="0.3">
      <c r="A5" s="181"/>
      <c r="B5" s="188"/>
      <c r="C5" s="189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90"/>
    </row>
    <row r="6" spans="1:17" ht="38.1" customHeight="1" x14ac:dyDescent="0.3">
      <c r="P6" s="270" t="s">
        <v>8</v>
      </c>
    </row>
    <row r="7" spans="1:17" ht="22.35" customHeight="1" x14ac:dyDescent="0.3">
      <c r="A7" s="182"/>
      <c r="B7" s="253" t="s">
        <v>11</v>
      </c>
      <c r="C7" s="254"/>
      <c r="D7" s="255" t="s">
        <v>12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70" t="s">
        <v>13</v>
      </c>
    </row>
    <row r="8" spans="1:17" ht="8.1" customHeight="1" x14ac:dyDescent="0.3">
      <c r="P8" s="270" t="s">
        <v>14</v>
      </c>
    </row>
    <row r="9" spans="1:17" s="270" customFormat="1" ht="68.099999999999994" customHeight="1" x14ac:dyDescent="0.7">
      <c r="A9" s="284"/>
      <c r="B9" s="285" cm="1">
        <f t="array" ref="B9">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</f>
        <v>0</v>
      </c>
      <c r="C9" s="283"/>
      <c r="D9" s="285" t="str" cm="1">
        <f t="array" ref="D9">(IFERROR(ROUND(SUMPRODUCT(((('Resumen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)/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Ejecutivo'!H3)&gt;0)))*8)*100,0),0)&amp;"%")</f>
        <v>0%</v>
      </c>
      <c r="E9" s="283"/>
      <c r="F9" s="285" cm="1">
        <f t="array" ref="F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aplica",Maestro!BL11:BL70))*1))),0)</f>
        <v>0</v>
      </c>
      <c r="G9" s="283"/>
      <c r="H9" s="285" cm="1">
        <f t="array" ref="H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0</v>
      </c>
      <c r="I9" s="283"/>
      <c r="J9" s="285" cm="1">
        <f t="array" ref="J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0</v>
      </c>
      <c r="K9" s="283"/>
      <c r="L9" s="285" cm="1">
        <f t="array" ref="L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&lt;2.4)),0)</f>
        <v>0</v>
      </c>
      <c r="M9" s="283"/>
      <c r="P9" s="270" t="s">
        <v>15</v>
      </c>
    </row>
    <row r="10" spans="1:17" s="270" customFormat="1" ht="28.35" customHeight="1" x14ac:dyDescent="0.3">
      <c r="A10" s="284"/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P10" s="270" t="s">
        <v>16</v>
      </c>
    </row>
    <row r="11" spans="1:17" ht="28.35" customHeight="1" x14ac:dyDescent="0.3">
      <c r="A11" s="228"/>
      <c r="B11" s="28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</row>
    <row r="12" spans="1:17" ht="28.35" customHeight="1" x14ac:dyDescent="0.3"/>
    <row r="13" spans="1:17" ht="20.100000000000001" customHeight="1" x14ac:dyDescent="0.3">
      <c r="A13" s="184"/>
      <c r="B13" s="256" t="s">
        <v>17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</row>
    <row r="14" spans="1:17" ht="22.35" customHeight="1" x14ac:dyDescent="0.3">
      <c r="A14" s="184"/>
      <c r="B14" s="292" t="str" cm="1">
        <f t="array" ref="B14">CONCATENATE("AVANCE POR ETAPA  —  8 procesos según hoja Estructura  · 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programas")</f>
        <v>AVANCE POR ETAPA  —  8 procesos según hoja Estructura  ·  0 programas</v>
      </c>
    </row>
    <row r="15" spans="1:17" ht="36.6" customHeight="1" x14ac:dyDescent="0.5">
      <c r="A15" s="184"/>
      <c r="B15" s="220" t="s">
        <v>18</v>
      </c>
      <c r="C15" s="218"/>
      <c r="D15" s="287" cm="1">
        <f t="array" ref="D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E15" s="221" t="s">
        <v>19</v>
      </c>
      <c r="F15" s="218"/>
      <c r="G15" s="288" cm="1">
        <f t="array" ref="G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H15" s="222" t="s">
        <v>20</v>
      </c>
      <c r="I15" s="218"/>
      <c r="J15" s="288" cm="1">
        <f t="array" ref="J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K15" s="223" t="s">
        <v>21</v>
      </c>
      <c r="L15" s="218"/>
      <c r="M15" s="289" cm="1">
        <f t="array" ref="M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aplica",Maestro!AI11:AI70)))*(Maestro!AI11:AI70&lt;&gt;"")*1))+(0)*0.5)/SUMPRODUCT(((('Resumen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16" spans="1:17" ht="68.099999999999994" customHeight="1" x14ac:dyDescent="0.3">
      <c r="A16" s="184"/>
      <c r="B16" s="293"/>
      <c r="C16" s="183"/>
      <c r="D16" s="295"/>
      <c r="E16" s="294"/>
      <c r="F16" s="183"/>
      <c r="G16" s="183"/>
      <c r="H16" s="294"/>
      <c r="I16" s="183"/>
      <c r="J16" s="183"/>
      <c r="K16" s="294"/>
      <c r="L16" s="183"/>
      <c r="M16" s="219"/>
    </row>
    <row r="17" spans="1:15" ht="24" customHeight="1" x14ac:dyDescent="0.3">
      <c r="A17" s="184"/>
      <c r="B17" s="291" t="str" cm="1">
        <f t="array" ref="B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N/A")</f>
        <v>✔ 0  Final.     ◑ 0  En proc.     ○ 0  Sin inic.     — 0  N/A</v>
      </c>
      <c r="C17" s="183"/>
      <c r="D17" s="183"/>
      <c r="E17" s="291" t="str" cm="1">
        <f t="array" ref="E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N/A")</f>
        <v>✔ 0  Final.     ◑ 0  En proc.     ○ 0  Sin inic.     — 0  N/A</v>
      </c>
      <c r="F17" s="183"/>
      <c r="G17" s="183"/>
      <c r="H17" s="291" t="str" cm="1">
        <f t="array" ref="H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N/A")</f>
        <v>✔ 0  Final.     ◑ 0  En proc.     ○ 0  Sin inic.     — 0  N/A</v>
      </c>
      <c r="I17" s="183"/>
      <c r="J17" s="183"/>
      <c r="K17" s="291" t="str" cm="1">
        <f t="array" ref="K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aplica",Maestro!AI11:AI70)))*(Maestro!AI11:AI70&lt;&gt;"")*1)),"0"),"  Final.     ◑ ",TEXT(0,"0"),"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aplica",Maestro!AI11:AI70)))*(Maestro!AI11:AI70&lt;&gt;"")*1))-0-SUMPRODUCT(((('Resumen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N/A")</f>
        <v>✔ 0  Final.     ◑ 0  En proc.     ○ 0  Sin inic.     — 0  N/A</v>
      </c>
      <c r="L17" s="183"/>
      <c r="M17" s="219"/>
    </row>
    <row r="18" spans="1:15" ht="24" customHeight="1" x14ac:dyDescent="0.3">
      <c r="A18" s="184"/>
      <c r="B18" s="185"/>
      <c r="C18" s="185"/>
      <c r="D18" s="185"/>
      <c r="E18" s="187"/>
      <c r="F18" s="187"/>
      <c r="G18" s="187"/>
      <c r="H18" s="187"/>
      <c r="I18" s="187"/>
      <c r="J18" s="187"/>
      <c r="K18" s="187"/>
      <c r="L18" s="187"/>
      <c r="M18" s="187"/>
    </row>
    <row r="19" spans="1:15" ht="24" customHeight="1" x14ac:dyDescent="0.5">
      <c r="A19" s="184"/>
      <c r="B19" s="224" t="s">
        <v>22</v>
      </c>
      <c r="C19" s="218"/>
      <c r="D19" s="288" cm="1">
        <f t="array" ref="D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E19" s="225" t="s">
        <v>23</v>
      </c>
      <c r="F19" s="218"/>
      <c r="G19" s="290" cm="1">
        <f t="array" ref="G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H19" s="226" t="s">
        <v>24</v>
      </c>
      <c r="I19" s="218"/>
      <c r="J19" s="290" cm="1">
        <f t="array" ref="J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K19" s="227" t="s">
        <v>25</v>
      </c>
      <c r="L19" s="218"/>
      <c r="M19" s="289" cm="1">
        <f t="array" ref="M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20" spans="1:15" ht="24" customHeight="1" x14ac:dyDescent="0.3">
      <c r="A20" s="184"/>
      <c r="B20" s="294"/>
      <c r="C20" s="183"/>
      <c r="D20" s="183"/>
      <c r="E20" s="294"/>
      <c r="F20" s="183"/>
      <c r="G20" s="183"/>
      <c r="H20" s="294"/>
      <c r="I20" s="183"/>
      <c r="J20" s="183"/>
      <c r="K20" s="294"/>
      <c r="L20" s="183"/>
      <c r="M20" s="219"/>
    </row>
    <row r="21" spans="1:15" ht="24" customHeight="1" x14ac:dyDescent="0.3">
      <c r="A21" s="184"/>
      <c r="B21" s="291" t="str" cm="1">
        <f t="array" ref="B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N/A")</f>
        <v>✔ 0  Final.     ◑ 0  En proc.     ○ 0  Sin inic.     — 0  N/A</v>
      </c>
      <c r="C21" s="183"/>
      <c r="D21" s="183"/>
      <c r="E21" s="291" t="str" cm="1">
        <f t="array" ref="E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N/A")</f>
        <v>✔ 0  Final.     ◑ 0  En proc.     ○ 0  Sin inic.     — 0  N/A</v>
      </c>
      <c r="F21" s="183"/>
      <c r="G21" s="183"/>
      <c r="H21" s="291" t="str" cm="1">
        <f t="array" ref="H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N/A")</f>
        <v>✔ 0  Final.     ◑ 0  En proc.     ○ 0  Sin inic.     — 0  N/A</v>
      </c>
      <c r="I21" s="183"/>
      <c r="J21" s="183"/>
      <c r="K21" s="291" t="str" cm="1">
        <f t="array" ref="K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N/A")</f>
        <v>✔ 0  Final.     ◑ 0  En proc.     ○ 0  Sin inic.     — 0  N/A</v>
      </c>
      <c r="L21" s="183"/>
      <c r="M21" s="219"/>
    </row>
    <row r="22" spans="1:15" ht="24" customHeight="1" x14ac:dyDescent="0.3">
      <c r="A22" s="184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</row>
    <row r="23" spans="1:15" ht="24" customHeight="1" x14ac:dyDescent="0.3"/>
    <row r="24" spans="1:15" ht="24" customHeight="1" x14ac:dyDescent="0.3">
      <c r="A24" s="186"/>
      <c r="B24" s="256" t="s">
        <v>26</v>
      </c>
      <c r="C24" s="254"/>
      <c r="D24" s="254"/>
      <c r="E24" s="254"/>
      <c r="F24" s="254"/>
      <c r="G24" s="254"/>
      <c r="H24" s="256" t="s">
        <v>27</v>
      </c>
      <c r="I24" s="254"/>
      <c r="J24" s="254"/>
      <c r="K24" s="254"/>
      <c r="L24" s="254"/>
      <c r="M24" s="254"/>
      <c r="N24" s="254"/>
      <c r="O24" s="254"/>
    </row>
    <row r="25" spans="1:15" ht="10.35" customHeight="1" x14ac:dyDescent="0.3">
      <c r="A25" s="186"/>
    </row>
    <row r="26" spans="1:15" ht="22.35" customHeight="1" x14ac:dyDescent="0.3">
      <c r="A26" s="186"/>
      <c r="B26" s="193" t="s">
        <v>28</v>
      </c>
      <c r="C26" s="193" t="s">
        <v>29</v>
      </c>
      <c r="D26" s="193" t="s">
        <v>30</v>
      </c>
      <c r="E26" s="193" t="s">
        <v>31</v>
      </c>
      <c r="F26" s="193" t="s">
        <v>32</v>
      </c>
      <c r="H26" s="272" t="s">
        <v>33</v>
      </c>
      <c r="I26" s="273"/>
      <c r="J26" s="273"/>
      <c r="K26" s="273"/>
      <c r="L26" s="273"/>
      <c r="M26" s="195" t="s">
        <v>34</v>
      </c>
      <c r="N26" s="193" t="s">
        <v>35</v>
      </c>
      <c r="O26" s="181"/>
    </row>
    <row r="27" spans="1:15" ht="24" customHeight="1" x14ac:dyDescent="0.3">
      <c r="A27" s="186"/>
      <c r="B27" s="229" t="s">
        <v>36</v>
      </c>
      <c r="C27" s="230">
        <v>58</v>
      </c>
      <c r="D27" s="231">
        <v>2</v>
      </c>
      <c r="E27" s="232">
        <v>0</v>
      </c>
      <c r="F27" s="233">
        <v>60</v>
      </c>
      <c r="H27" s="199" t="s">
        <v>37</v>
      </c>
      <c r="I27" s="197"/>
      <c r="J27" s="197"/>
      <c r="K27" s="197"/>
      <c r="L27" s="197"/>
      <c r="M27" s="274">
        <v>0.35</v>
      </c>
      <c r="N27" s="257" t="s">
        <v>38</v>
      </c>
      <c r="O27" s="197"/>
    </row>
    <row r="28" spans="1:15" ht="24" customHeight="1" x14ac:dyDescent="0.3">
      <c r="A28" s="186"/>
      <c r="B28" s="238" t="s">
        <v>39</v>
      </c>
      <c r="C28" s="239">
        <v>12</v>
      </c>
      <c r="D28" s="240">
        <v>14</v>
      </c>
      <c r="E28" s="241">
        <v>34</v>
      </c>
      <c r="F28" s="242">
        <v>60</v>
      </c>
      <c r="H28" s="192" t="s">
        <v>40</v>
      </c>
      <c r="I28" s="183"/>
      <c r="J28" s="183"/>
      <c r="K28" s="183"/>
      <c r="L28" s="183"/>
      <c r="M28" s="275">
        <v>0.8</v>
      </c>
      <c r="N28" s="258" t="s">
        <v>41</v>
      </c>
      <c r="O28" s="183"/>
    </row>
    <row r="29" spans="1:15" ht="24" customHeight="1" x14ac:dyDescent="0.3">
      <c r="A29" s="186"/>
      <c r="B29" s="243" t="s">
        <v>42</v>
      </c>
      <c r="C29" s="244">
        <v>1</v>
      </c>
      <c r="D29" s="245">
        <v>56</v>
      </c>
      <c r="E29" s="246">
        <v>3</v>
      </c>
      <c r="F29" s="247">
        <v>60</v>
      </c>
      <c r="H29" s="200" t="s">
        <v>43</v>
      </c>
      <c r="I29" s="194"/>
      <c r="J29" s="194"/>
      <c r="K29" s="194"/>
      <c r="L29" s="194"/>
      <c r="M29" s="276">
        <v>0.6</v>
      </c>
      <c r="N29" s="259" t="s">
        <v>44</v>
      </c>
      <c r="O29" s="194"/>
    </row>
    <row r="30" spans="1:15" ht="10.35" customHeight="1" x14ac:dyDescent="0.3">
      <c r="A30" s="186"/>
      <c r="B30" s="248" t="s">
        <v>45</v>
      </c>
      <c r="C30" s="239">
        <v>0</v>
      </c>
      <c r="D30" s="240">
        <v>0</v>
      </c>
      <c r="E30" s="241">
        <v>60</v>
      </c>
      <c r="F30" s="242">
        <v>60</v>
      </c>
      <c r="H30" s="192" t="s">
        <v>46</v>
      </c>
      <c r="I30" s="183"/>
      <c r="J30" s="183"/>
      <c r="K30" s="183"/>
      <c r="L30" s="183"/>
      <c r="M30" s="277">
        <v>0.46</v>
      </c>
      <c r="N30" s="260" t="s">
        <v>47</v>
      </c>
      <c r="O30" s="183"/>
    </row>
    <row r="31" spans="1:15" ht="22.35" customHeight="1" x14ac:dyDescent="0.3">
      <c r="A31" s="186"/>
      <c r="B31" s="249" t="s">
        <v>48</v>
      </c>
      <c r="C31" s="244">
        <v>4</v>
      </c>
      <c r="D31" s="245">
        <v>12</v>
      </c>
      <c r="E31" s="246">
        <v>44</v>
      </c>
      <c r="F31" s="247">
        <v>60</v>
      </c>
      <c r="H31" s="200" t="s">
        <v>49</v>
      </c>
      <c r="I31" s="194"/>
      <c r="J31" s="194"/>
      <c r="K31" s="194"/>
      <c r="L31" s="194"/>
      <c r="M31" s="278">
        <v>0.45</v>
      </c>
      <c r="N31" s="259" t="s">
        <v>47</v>
      </c>
      <c r="O31" s="194"/>
    </row>
    <row r="32" spans="1:15" ht="22.35" customHeight="1" x14ac:dyDescent="0.3">
      <c r="A32" s="186"/>
      <c r="B32" s="250" t="s">
        <v>50</v>
      </c>
      <c r="C32" s="239">
        <v>0</v>
      </c>
      <c r="D32" s="240">
        <v>2</v>
      </c>
      <c r="E32" s="241">
        <v>58</v>
      </c>
      <c r="F32" s="242">
        <v>60</v>
      </c>
      <c r="H32" s="192" t="s">
        <v>51</v>
      </c>
      <c r="I32" s="183"/>
      <c r="J32" s="183"/>
      <c r="K32" s="183"/>
      <c r="L32" s="183"/>
      <c r="M32" s="277">
        <v>0.45</v>
      </c>
      <c r="N32" s="260" t="s">
        <v>47</v>
      </c>
      <c r="O32" s="183"/>
    </row>
    <row r="33" spans="1:15" ht="22.35" customHeight="1" x14ac:dyDescent="0.3">
      <c r="A33" s="186"/>
      <c r="B33" s="251" t="s">
        <v>52</v>
      </c>
      <c r="C33" s="244">
        <v>5</v>
      </c>
      <c r="D33" s="245">
        <v>1</v>
      </c>
      <c r="E33" s="246">
        <v>54</v>
      </c>
      <c r="F33" s="247">
        <v>60</v>
      </c>
      <c r="H33" s="200" t="s">
        <v>53</v>
      </c>
      <c r="I33" s="194"/>
      <c r="J33" s="194"/>
      <c r="K33" s="194"/>
      <c r="L33" s="194"/>
      <c r="M33" s="278">
        <v>0.43</v>
      </c>
      <c r="N33" s="259" t="s">
        <v>38</v>
      </c>
      <c r="O33" s="194"/>
    </row>
    <row r="34" spans="1:15" ht="22.35" customHeight="1" x14ac:dyDescent="0.3">
      <c r="A34" s="186"/>
      <c r="B34" s="252" t="s">
        <v>54</v>
      </c>
      <c r="C34" s="234">
        <v>0</v>
      </c>
      <c r="D34" s="235">
        <v>0</v>
      </c>
      <c r="E34" s="236">
        <v>60</v>
      </c>
      <c r="F34" s="237">
        <v>60</v>
      </c>
      <c r="H34" s="192" t="s">
        <v>55</v>
      </c>
      <c r="I34" s="183"/>
      <c r="J34" s="183"/>
      <c r="K34" s="183"/>
      <c r="L34" s="183"/>
      <c r="M34" s="277">
        <v>0.4</v>
      </c>
      <c r="N34" s="260" t="s">
        <v>38</v>
      </c>
      <c r="O34" s="183"/>
    </row>
    <row r="35" spans="1:15" ht="22.35" customHeight="1" x14ac:dyDescent="0.3">
      <c r="A35" s="186"/>
      <c r="H35" s="200" t="s">
        <v>56</v>
      </c>
      <c r="I35" s="194"/>
      <c r="J35" s="194"/>
      <c r="K35" s="194"/>
      <c r="L35" s="194"/>
      <c r="M35" s="278">
        <v>0.38</v>
      </c>
      <c r="N35" s="261" t="s">
        <v>38</v>
      </c>
      <c r="O35" s="194"/>
    </row>
    <row r="36" spans="1:15" ht="22.35" customHeight="1" x14ac:dyDescent="0.3">
      <c r="A36" s="186"/>
      <c r="M36" s="279"/>
    </row>
    <row r="37" spans="1:15" ht="18" customHeight="1" x14ac:dyDescent="0.3">
      <c r="A37" s="186"/>
      <c r="H37" s="199" t="s">
        <v>57</v>
      </c>
      <c r="I37" s="197"/>
      <c r="J37" s="197"/>
      <c r="K37" s="197"/>
      <c r="L37" s="197"/>
      <c r="M37" s="280">
        <v>0.28000000000000003</v>
      </c>
      <c r="N37" s="257" t="s">
        <v>58</v>
      </c>
      <c r="O37" s="197"/>
    </row>
    <row r="38" spans="1:15" ht="22.35" customHeight="1" x14ac:dyDescent="0.3">
      <c r="A38" s="186"/>
      <c r="H38" s="192" t="s">
        <v>59</v>
      </c>
      <c r="I38" s="183"/>
      <c r="J38" s="183"/>
      <c r="K38" s="183"/>
      <c r="L38" s="183"/>
      <c r="M38" s="275">
        <v>0.75</v>
      </c>
      <c r="N38" s="258" t="s">
        <v>41</v>
      </c>
      <c r="O38" s="183"/>
    </row>
    <row r="39" spans="1:15" ht="22.35" customHeight="1" x14ac:dyDescent="0.3">
      <c r="A39" s="186"/>
      <c r="H39" s="200" t="s">
        <v>60</v>
      </c>
      <c r="I39" s="194"/>
      <c r="J39" s="194"/>
      <c r="K39" s="194"/>
      <c r="L39" s="194"/>
      <c r="M39" s="276">
        <v>0.65</v>
      </c>
      <c r="N39" s="259" t="s">
        <v>44</v>
      </c>
      <c r="O39" s="194"/>
    </row>
    <row r="40" spans="1:15" ht="20.100000000000001" customHeight="1" x14ac:dyDescent="0.3">
      <c r="A40" s="186"/>
      <c r="H40" s="192" t="s">
        <v>61</v>
      </c>
      <c r="I40" s="183"/>
      <c r="J40" s="183"/>
      <c r="K40" s="183"/>
      <c r="L40" s="183"/>
      <c r="M40" s="277">
        <v>0.35</v>
      </c>
      <c r="N40" s="262" t="s">
        <v>38</v>
      </c>
      <c r="O40" s="183"/>
    </row>
    <row r="41" spans="1:15" ht="20.100000000000001" customHeight="1" x14ac:dyDescent="0.3">
      <c r="A41" s="186"/>
      <c r="H41" s="200" t="s">
        <v>62</v>
      </c>
      <c r="I41" s="194"/>
      <c r="J41" s="194"/>
      <c r="K41" s="194"/>
      <c r="L41" s="194"/>
      <c r="M41" s="278">
        <v>0.33</v>
      </c>
      <c r="N41" s="261" t="s">
        <v>38</v>
      </c>
      <c r="O41" s="194"/>
    </row>
    <row r="42" spans="1:15" ht="20.100000000000001" customHeight="1" x14ac:dyDescent="0.3">
      <c r="A42" s="186"/>
      <c r="H42" s="192" t="s">
        <v>63</v>
      </c>
      <c r="I42" s="183"/>
      <c r="J42" s="183"/>
      <c r="K42" s="183"/>
      <c r="L42" s="183"/>
      <c r="M42" s="277">
        <v>0.3</v>
      </c>
      <c r="N42" s="262" t="s">
        <v>58</v>
      </c>
      <c r="O42" s="183"/>
    </row>
    <row r="43" spans="1:15" ht="20.100000000000001" customHeight="1" x14ac:dyDescent="0.3">
      <c r="A43" s="186"/>
      <c r="H43" s="200" t="s">
        <v>64</v>
      </c>
      <c r="I43" s="194"/>
      <c r="J43" s="194"/>
      <c r="K43" s="194"/>
      <c r="L43" s="194"/>
      <c r="M43" s="281">
        <v>0.28000000000000003</v>
      </c>
      <c r="N43" s="261" t="s">
        <v>58</v>
      </c>
      <c r="O43" s="194"/>
    </row>
    <row r="44" spans="1:15" ht="20.100000000000001" customHeight="1" x14ac:dyDescent="0.3">
      <c r="A44" s="186"/>
      <c r="M44" s="279"/>
    </row>
    <row r="45" spans="1:15" ht="20.100000000000001" customHeight="1" x14ac:dyDescent="0.3">
      <c r="A45" s="186"/>
      <c r="H45" s="199" t="s">
        <v>65</v>
      </c>
      <c r="I45" s="197"/>
      <c r="J45" s="197"/>
      <c r="K45" s="197"/>
      <c r="L45" s="197"/>
      <c r="M45" s="274">
        <v>0.3</v>
      </c>
      <c r="N45" s="257" t="s">
        <v>58</v>
      </c>
      <c r="O45" s="197"/>
    </row>
    <row r="46" spans="1:15" ht="20.100000000000001" customHeight="1" x14ac:dyDescent="0.3">
      <c r="H46" s="192" t="s">
        <v>66</v>
      </c>
      <c r="I46" s="183"/>
      <c r="J46" s="183"/>
      <c r="K46" s="183"/>
      <c r="L46" s="183"/>
      <c r="M46" s="277">
        <v>0.5</v>
      </c>
      <c r="N46" s="260" t="s">
        <v>47</v>
      </c>
      <c r="O46" s="183"/>
    </row>
    <row r="47" spans="1:15" ht="20.100000000000001" customHeight="1" x14ac:dyDescent="0.3">
      <c r="H47" s="200" t="s">
        <v>67</v>
      </c>
      <c r="I47" s="194"/>
      <c r="J47" s="194"/>
      <c r="K47" s="194"/>
      <c r="L47" s="194"/>
      <c r="M47" s="278">
        <v>0.45</v>
      </c>
      <c r="N47" s="259" t="s">
        <v>47</v>
      </c>
      <c r="O47" s="194"/>
    </row>
    <row r="48" spans="1:15" ht="20.100000000000001" customHeight="1" x14ac:dyDescent="0.3">
      <c r="H48" s="192" t="s">
        <v>68</v>
      </c>
      <c r="I48" s="183"/>
      <c r="J48" s="183"/>
      <c r="K48" s="183"/>
      <c r="L48" s="183"/>
      <c r="M48" s="277">
        <v>0.45</v>
      </c>
      <c r="N48" s="260" t="s">
        <v>47</v>
      </c>
      <c r="O48" s="183"/>
    </row>
    <row r="49" spans="1:15" ht="20.100000000000001" customHeight="1" x14ac:dyDescent="0.3">
      <c r="H49" s="200" t="s">
        <v>69</v>
      </c>
      <c r="I49" s="194"/>
      <c r="J49" s="194"/>
      <c r="K49" s="194"/>
      <c r="L49" s="194"/>
      <c r="M49" s="278">
        <v>0.4</v>
      </c>
      <c r="N49" s="259" t="s">
        <v>38</v>
      </c>
      <c r="O49" s="194"/>
    </row>
    <row r="50" spans="1:15" ht="20.100000000000001" customHeight="1" x14ac:dyDescent="0.3">
      <c r="H50" s="192" t="s">
        <v>70</v>
      </c>
      <c r="I50" s="183"/>
      <c r="J50" s="183"/>
      <c r="K50" s="183"/>
      <c r="L50" s="183"/>
      <c r="M50" s="282">
        <v>0.25</v>
      </c>
      <c r="N50" s="262" t="s">
        <v>58</v>
      </c>
      <c r="O50" s="183"/>
    </row>
    <row r="51" spans="1:15" ht="20.100000000000001" customHeight="1" x14ac:dyDescent="0.3"/>
    <row r="52" spans="1:15" ht="20.100000000000001" customHeight="1" x14ac:dyDescent="0.3">
      <c r="A52" s="182"/>
      <c r="B52" s="191" t="s">
        <v>71</v>
      </c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</row>
    <row r="53" spans="1:15" ht="20.100000000000001" customHeight="1" x14ac:dyDescent="0.3">
      <c r="B53" s="201" t="s">
        <v>72</v>
      </c>
      <c r="C53" s="201" t="s">
        <v>73</v>
      </c>
      <c r="D53" s="201" t="s">
        <v>74</v>
      </c>
      <c r="E53" s="201" t="s">
        <v>75</v>
      </c>
      <c r="F53" s="201" t="s">
        <v>76</v>
      </c>
      <c r="G53" s="201" t="s">
        <v>77</v>
      </c>
      <c r="H53" s="201" t="s">
        <v>78</v>
      </c>
      <c r="I53" s="201" t="s">
        <v>79</v>
      </c>
      <c r="J53" s="201" t="s">
        <v>80</v>
      </c>
      <c r="K53" s="201" t="s">
        <v>81</v>
      </c>
      <c r="L53" s="201" t="s">
        <v>82</v>
      </c>
      <c r="M53" s="201" t="s">
        <v>83</v>
      </c>
      <c r="N53" s="201" t="s">
        <v>84</v>
      </c>
      <c r="O53" s="201" t="s">
        <v>85</v>
      </c>
    </row>
    <row r="54" spans="1:15" ht="20.100000000000001" customHeight="1" x14ac:dyDescent="0.3">
      <c r="B54" s="202" t="s">
        <v>40</v>
      </c>
      <c r="C54" s="203" t="s">
        <v>86</v>
      </c>
      <c r="D54" s="203" t="s">
        <v>87</v>
      </c>
      <c r="E54" s="198" t="s">
        <v>88</v>
      </c>
      <c r="F54" s="203" t="s">
        <v>89</v>
      </c>
      <c r="G54" s="204" t="s">
        <v>15</v>
      </c>
      <c r="H54" s="205" t="s">
        <v>90</v>
      </c>
      <c r="I54" s="205" t="s">
        <v>90</v>
      </c>
      <c r="J54" s="205" t="s">
        <v>90</v>
      </c>
      <c r="K54" s="206" t="s">
        <v>91</v>
      </c>
      <c r="L54" s="207" t="s">
        <v>92</v>
      </c>
      <c r="M54" s="206" t="s">
        <v>91</v>
      </c>
      <c r="N54" s="205" t="s">
        <v>90</v>
      </c>
      <c r="O54" s="206" t="s">
        <v>91</v>
      </c>
    </row>
    <row r="55" spans="1:15" ht="20.100000000000001" customHeight="1" x14ac:dyDescent="0.3">
      <c r="B55" s="208" t="s">
        <v>93</v>
      </c>
      <c r="C55" s="209" t="s">
        <v>94</v>
      </c>
      <c r="D55" s="209" t="s">
        <v>87</v>
      </c>
      <c r="E55" s="210" t="s">
        <v>88</v>
      </c>
      <c r="F55" s="209" t="s">
        <v>95</v>
      </c>
      <c r="G55" s="211" t="s">
        <v>96</v>
      </c>
      <c r="H55" s="205" t="s">
        <v>90</v>
      </c>
      <c r="I55" s="206" t="s">
        <v>91</v>
      </c>
      <c r="J55" s="206" t="s">
        <v>91</v>
      </c>
      <c r="K55" s="206" t="s">
        <v>91</v>
      </c>
      <c r="L55" s="205" t="s">
        <v>90</v>
      </c>
      <c r="M55" s="206" t="s">
        <v>91</v>
      </c>
      <c r="N55" s="207" t="s">
        <v>92</v>
      </c>
      <c r="O55" s="206" t="s">
        <v>91</v>
      </c>
    </row>
    <row r="56" spans="1:15" ht="20.100000000000001" customHeight="1" x14ac:dyDescent="0.3">
      <c r="B56" s="202" t="s">
        <v>46</v>
      </c>
      <c r="C56" s="203" t="s">
        <v>97</v>
      </c>
      <c r="D56" s="203" t="s">
        <v>87</v>
      </c>
      <c r="E56" s="198" t="s">
        <v>88</v>
      </c>
      <c r="F56" s="203" t="s">
        <v>89</v>
      </c>
      <c r="G56" s="204" t="s">
        <v>16</v>
      </c>
      <c r="H56" s="205" t="s">
        <v>90</v>
      </c>
      <c r="I56" s="205" t="s">
        <v>90</v>
      </c>
      <c r="J56" s="205" t="s">
        <v>90</v>
      </c>
      <c r="K56" s="206" t="s">
        <v>91</v>
      </c>
      <c r="L56" s="207" t="s">
        <v>92</v>
      </c>
      <c r="M56" s="206" t="s">
        <v>91</v>
      </c>
      <c r="N56" s="206" t="s">
        <v>91</v>
      </c>
      <c r="O56" s="206" t="s">
        <v>91</v>
      </c>
    </row>
    <row r="57" spans="1:15" ht="20.100000000000001" customHeight="1" x14ac:dyDescent="0.3">
      <c r="B57" s="208" t="s">
        <v>98</v>
      </c>
      <c r="C57" s="209" t="s">
        <v>99</v>
      </c>
      <c r="D57" s="209" t="s">
        <v>87</v>
      </c>
      <c r="E57" s="212" t="s">
        <v>100</v>
      </c>
      <c r="F57" s="209" t="s">
        <v>101</v>
      </c>
      <c r="G57" s="211" t="s">
        <v>16</v>
      </c>
      <c r="H57" s="205" t="s">
        <v>90</v>
      </c>
      <c r="I57" s="205" t="s">
        <v>90</v>
      </c>
      <c r="J57" s="205" t="s">
        <v>90</v>
      </c>
      <c r="K57" s="206" t="s">
        <v>91</v>
      </c>
      <c r="L57" s="206" t="s">
        <v>91</v>
      </c>
      <c r="M57" s="206" t="s">
        <v>91</v>
      </c>
      <c r="N57" s="206" t="s">
        <v>91</v>
      </c>
      <c r="O57" s="206" t="s">
        <v>91</v>
      </c>
    </row>
    <row r="58" spans="1:15" ht="20.100000000000001" customHeight="1" x14ac:dyDescent="0.3">
      <c r="B58" s="202" t="s">
        <v>102</v>
      </c>
      <c r="C58" s="203" t="s">
        <v>99</v>
      </c>
      <c r="D58" s="203" t="s">
        <v>87</v>
      </c>
      <c r="E58" s="198" t="s">
        <v>88</v>
      </c>
      <c r="F58" s="203" t="s">
        <v>103</v>
      </c>
      <c r="G58" s="204" t="s">
        <v>16</v>
      </c>
      <c r="H58" s="205" t="s">
        <v>90</v>
      </c>
      <c r="I58" s="205" t="s">
        <v>90</v>
      </c>
      <c r="J58" s="205" t="s">
        <v>90</v>
      </c>
      <c r="K58" s="206" t="s">
        <v>91</v>
      </c>
      <c r="L58" s="206" t="s">
        <v>91</v>
      </c>
      <c r="M58" s="206" t="s">
        <v>91</v>
      </c>
      <c r="N58" s="206" t="s">
        <v>91</v>
      </c>
      <c r="O58" s="206" t="s">
        <v>91</v>
      </c>
    </row>
    <row r="59" spans="1:15" ht="20.100000000000001" customHeight="1" x14ac:dyDescent="0.3">
      <c r="B59" s="208" t="s">
        <v>104</v>
      </c>
      <c r="C59" s="209" t="s">
        <v>105</v>
      </c>
      <c r="D59" s="209" t="s">
        <v>87</v>
      </c>
      <c r="E59" s="210" t="s">
        <v>88</v>
      </c>
      <c r="F59" s="209" t="s">
        <v>106</v>
      </c>
      <c r="G59" s="211" t="s">
        <v>14</v>
      </c>
      <c r="H59" s="205" t="s">
        <v>90</v>
      </c>
      <c r="I59" s="206" t="s">
        <v>91</v>
      </c>
      <c r="J59" s="205" t="s">
        <v>90</v>
      </c>
      <c r="K59" s="206" t="s">
        <v>91</v>
      </c>
      <c r="L59" s="207" t="s">
        <v>92</v>
      </c>
      <c r="M59" s="206" t="s">
        <v>91</v>
      </c>
      <c r="N59" s="207" t="s">
        <v>92</v>
      </c>
      <c r="O59" s="206" t="s">
        <v>91</v>
      </c>
    </row>
    <row r="60" spans="1:15" ht="20.100000000000001" customHeight="1" x14ac:dyDescent="0.3">
      <c r="B60" s="202" t="s">
        <v>107</v>
      </c>
      <c r="C60" s="203" t="s">
        <v>99</v>
      </c>
      <c r="D60" s="203" t="s">
        <v>87</v>
      </c>
      <c r="E60" s="198" t="s">
        <v>88</v>
      </c>
      <c r="F60" s="203" t="s">
        <v>95</v>
      </c>
      <c r="G60" s="204" t="s">
        <v>15</v>
      </c>
      <c r="H60" s="205" t="s">
        <v>90</v>
      </c>
      <c r="I60" s="205" t="s">
        <v>90</v>
      </c>
      <c r="J60" s="205" t="s">
        <v>90</v>
      </c>
      <c r="K60" s="206" t="s">
        <v>91</v>
      </c>
      <c r="L60" s="207" t="s">
        <v>92</v>
      </c>
      <c r="M60" s="206" t="s">
        <v>91</v>
      </c>
      <c r="N60" s="206" t="s">
        <v>91</v>
      </c>
      <c r="O60" s="206" t="s">
        <v>91</v>
      </c>
    </row>
    <row r="61" spans="1:15" ht="20.100000000000001" customHeight="1" x14ac:dyDescent="0.3">
      <c r="B61" s="208" t="s">
        <v>108</v>
      </c>
      <c r="C61" s="209" t="s">
        <v>99</v>
      </c>
      <c r="D61" s="209" t="s">
        <v>87</v>
      </c>
      <c r="E61" s="212" t="s">
        <v>100</v>
      </c>
      <c r="F61" s="209" t="s">
        <v>89</v>
      </c>
      <c r="G61" s="211" t="s">
        <v>15</v>
      </c>
      <c r="H61" s="205" t="s">
        <v>90</v>
      </c>
      <c r="I61" s="205" t="s">
        <v>90</v>
      </c>
      <c r="J61" s="205" t="s">
        <v>90</v>
      </c>
      <c r="K61" s="206" t="s">
        <v>91</v>
      </c>
      <c r="L61" s="206" t="s">
        <v>91</v>
      </c>
      <c r="M61" s="206" t="s">
        <v>91</v>
      </c>
      <c r="N61" s="206" t="s">
        <v>91</v>
      </c>
      <c r="O61" s="206" t="s">
        <v>91</v>
      </c>
    </row>
    <row r="62" spans="1:15" ht="20.100000000000001" customHeight="1" x14ac:dyDescent="0.3">
      <c r="B62" s="202" t="s">
        <v>109</v>
      </c>
      <c r="C62" s="203" t="s">
        <v>99</v>
      </c>
      <c r="D62" s="203" t="s">
        <v>87</v>
      </c>
      <c r="E62" s="196" t="s">
        <v>100</v>
      </c>
      <c r="F62" s="203" t="s">
        <v>89</v>
      </c>
      <c r="G62" s="204" t="s">
        <v>16</v>
      </c>
      <c r="H62" s="205" t="s">
        <v>90</v>
      </c>
      <c r="I62" s="205" t="s">
        <v>90</v>
      </c>
      <c r="J62" s="205" t="s">
        <v>90</v>
      </c>
      <c r="K62" s="206" t="s">
        <v>91</v>
      </c>
      <c r="L62" s="206" t="s">
        <v>91</v>
      </c>
      <c r="M62" s="206" t="s">
        <v>91</v>
      </c>
      <c r="N62" s="206" t="s">
        <v>91</v>
      </c>
      <c r="O62" s="206" t="s">
        <v>91</v>
      </c>
    </row>
    <row r="63" spans="1:15" ht="20.100000000000001" customHeight="1" x14ac:dyDescent="0.3">
      <c r="B63" s="208" t="s">
        <v>110</v>
      </c>
      <c r="C63" s="209" t="s">
        <v>105</v>
      </c>
      <c r="D63" s="209" t="s">
        <v>87</v>
      </c>
      <c r="E63" s="212" t="s">
        <v>100</v>
      </c>
      <c r="F63" s="209" t="s">
        <v>103</v>
      </c>
      <c r="G63" s="211" t="s">
        <v>16</v>
      </c>
      <c r="H63" s="205" t="s">
        <v>90</v>
      </c>
      <c r="I63" s="206" t="s">
        <v>91</v>
      </c>
      <c r="J63" s="206" t="s">
        <v>91</v>
      </c>
      <c r="K63" s="206" t="s">
        <v>91</v>
      </c>
      <c r="L63" s="206" t="s">
        <v>91</v>
      </c>
      <c r="M63" s="206" t="s">
        <v>91</v>
      </c>
      <c r="N63" s="206" t="s">
        <v>91</v>
      </c>
      <c r="O63" s="206" t="s">
        <v>91</v>
      </c>
    </row>
    <row r="64" spans="1:15" ht="20.100000000000001" customHeight="1" x14ac:dyDescent="0.3">
      <c r="B64" s="202" t="s">
        <v>111</v>
      </c>
      <c r="C64" s="203" t="s">
        <v>112</v>
      </c>
      <c r="D64" s="203" t="s">
        <v>113</v>
      </c>
      <c r="E64" s="196" t="s">
        <v>100</v>
      </c>
      <c r="F64" s="203" t="s">
        <v>89</v>
      </c>
      <c r="G64" s="204" t="s">
        <v>14</v>
      </c>
      <c r="H64" s="205" t="s">
        <v>90</v>
      </c>
      <c r="I64" s="205" t="s">
        <v>90</v>
      </c>
      <c r="J64" s="205" t="s">
        <v>90</v>
      </c>
      <c r="K64" s="206" t="s">
        <v>91</v>
      </c>
      <c r="L64" s="206" t="s">
        <v>91</v>
      </c>
      <c r="M64" s="206" t="s">
        <v>91</v>
      </c>
      <c r="N64" s="207" t="s">
        <v>92</v>
      </c>
      <c r="O64" s="206" t="s">
        <v>91</v>
      </c>
    </row>
    <row r="65" spans="2:15" ht="20.100000000000001" customHeight="1" x14ac:dyDescent="0.3">
      <c r="B65" s="208" t="s">
        <v>114</v>
      </c>
      <c r="C65" s="209" t="s">
        <v>112</v>
      </c>
      <c r="D65" s="209" t="s">
        <v>113</v>
      </c>
      <c r="E65" s="210" t="s">
        <v>88</v>
      </c>
      <c r="F65" s="209" t="s">
        <v>89</v>
      </c>
      <c r="G65" s="211" t="s">
        <v>14</v>
      </c>
      <c r="H65" s="205" t="s">
        <v>90</v>
      </c>
      <c r="I65" s="205" t="s">
        <v>90</v>
      </c>
      <c r="J65" s="205" t="s">
        <v>90</v>
      </c>
      <c r="K65" s="206" t="s">
        <v>91</v>
      </c>
      <c r="L65" s="206" t="s">
        <v>91</v>
      </c>
      <c r="M65" s="206" t="s">
        <v>91</v>
      </c>
      <c r="N65" s="207" t="s">
        <v>92</v>
      </c>
      <c r="O65" s="206" t="s">
        <v>91</v>
      </c>
    </row>
    <row r="66" spans="2:15" ht="20.100000000000001" customHeight="1" x14ac:dyDescent="0.3">
      <c r="B66" s="202" t="s">
        <v>68</v>
      </c>
      <c r="C66" s="203" t="s">
        <v>115</v>
      </c>
      <c r="D66" s="203" t="s">
        <v>113</v>
      </c>
      <c r="E66" s="196" t="s">
        <v>100</v>
      </c>
      <c r="F66" s="203" t="s">
        <v>89</v>
      </c>
      <c r="G66" s="204" t="s">
        <v>14</v>
      </c>
      <c r="H66" s="205" t="s">
        <v>90</v>
      </c>
      <c r="I66" s="205" t="s">
        <v>90</v>
      </c>
      <c r="J66" s="205" t="s">
        <v>90</v>
      </c>
      <c r="K66" s="206" t="s">
        <v>91</v>
      </c>
      <c r="L66" s="207" t="s">
        <v>92</v>
      </c>
      <c r="M66" s="207" t="s">
        <v>92</v>
      </c>
      <c r="N66" s="207" t="s">
        <v>92</v>
      </c>
      <c r="O66" s="207" t="s">
        <v>92</v>
      </c>
    </row>
    <row r="67" spans="2:15" ht="20.100000000000001" customHeight="1" x14ac:dyDescent="0.3">
      <c r="B67" s="208" t="s">
        <v>116</v>
      </c>
      <c r="C67" s="209" t="s">
        <v>117</v>
      </c>
      <c r="D67" s="209" t="s">
        <v>113</v>
      </c>
      <c r="E67" s="210" t="s">
        <v>88</v>
      </c>
      <c r="F67" s="209" t="s">
        <v>89</v>
      </c>
      <c r="G67" s="211" t="s">
        <v>15</v>
      </c>
      <c r="H67" s="205" t="s">
        <v>90</v>
      </c>
      <c r="I67" s="205" t="s">
        <v>90</v>
      </c>
      <c r="J67" s="205" t="s">
        <v>90</v>
      </c>
      <c r="K67" s="206" t="s">
        <v>91</v>
      </c>
      <c r="L67" s="207" t="s">
        <v>92</v>
      </c>
      <c r="M67" s="206" t="s">
        <v>91</v>
      </c>
      <c r="N67" s="206" t="s">
        <v>91</v>
      </c>
      <c r="O67" s="206" t="s">
        <v>91</v>
      </c>
    </row>
    <row r="68" spans="2:15" ht="20.100000000000001" customHeight="1" x14ac:dyDescent="0.3">
      <c r="B68" s="202" t="s">
        <v>118</v>
      </c>
      <c r="C68" s="203" t="s">
        <v>115</v>
      </c>
      <c r="D68" s="203" t="s">
        <v>113</v>
      </c>
      <c r="E68" s="198" t="s">
        <v>88</v>
      </c>
      <c r="F68" s="203" t="s">
        <v>89</v>
      </c>
      <c r="G68" s="204" t="s">
        <v>15</v>
      </c>
      <c r="H68" s="205" t="s">
        <v>90</v>
      </c>
      <c r="I68" s="206" t="s">
        <v>91</v>
      </c>
      <c r="J68" s="206" t="s">
        <v>91</v>
      </c>
      <c r="K68" s="206" t="s">
        <v>91</v>
      </c>
      <c r="L68" s="206" t="s">
        <v>91</v>
      </c>
      <c r="M68" s="206" t="s">
        <v>91</v>
      </c>
      <c r="N68" s="206" t="s">
        <v>91</v>
      </c>
      <c r="O68" s="206" t="s">
        <v>91</v>
      </c>
    </row>
    <row r="69" spans="2:15" ht="20.100000000000001" customHeight="1" x14ac:dyDescent="0.3">
      <c r="B69" s="208" t="s">
        <v>59</v>
      </c>
      <c r="C69" s="209" t="s">
        <v>119</v>
      </c>
      <c r="D69" s="209" t="s">
        <v>120</v>
      </c>
      <c r="E69" s="210" t="s">
        <v>88</v>
      </c>
      <c r="F69" s="209" t="s">
        <v>95</v>
      </c>
      <c r="G69" s="211" t="s">
        <v>96</v>
      </c>
      <c r="H69" s="205" t="s">
        <v>90</v>
      </c>
      <c r="I69" s="206" t="s">
        <v>91</v>
      </c>
      <c r="J69" s="205" t="s">
        <v>90</v>
      </c>
      <c r="K69" s="206" t="s">
        <v>91</v>
      </c>
      <c r="L69" s="206" t="s">
        <v>91</v>
      </c>
      <c r="M69" s="206" t="s">
        <v>91</v>
      </c>
      <c r="N69" s="206" t="s">
        <v>91</v>
      </c>
      <c r="O69" s="206" t="s">
        <v>91</v>
      </c>
    </row>
    <row r="70" spans="2:15" ht="20.100000000000001" customHeight="1" x14ac:dyDescent="0.3">
      <c r="B70" s="202" t="s">
        <v>60</v>
      </c>
      <c r="C70" s="203" t="s">
        <v>121</v>
      </c>
      <c r="D70" s="203" t="s">
        <v>120</v>
      </c>
      <c r="E70" s="198" t="s">
        <v>88</v>
      </c>
      <c r="F70" s="203" t="s">
        <v>103</v>
      </c>
      <c r="G70" s="204" t="s">
        <v>96</v>
      </c>
      <c r="H70" s="205" t="s">
        <v>90</v>
      </c>
      <c r="I70" s="205" t="s">
        <v>90</v>
      </c>
      <c r="J70" s="205" t="s">
        <v>90</v>
      </c>
      <c r="K70" s="206" t="s">
        <v>91</v>
      </c>
      <c r="L70" s="206" t="s">
        <v>91</v>
      </c>
      <c r="M70" s="206" t="s">
        <v>91</v>
      </c>
      <c r="N70" s="206" t="s">
        <v>91</v>
      </c>
      <c r="O70" s="206" t="s">
        <v>91</v>
      </c>
    </row>
    <row r="71" spans="2:15" ht="20.100000000000001" customHeight="1" x14ac:dyDescent="0.3">
      <c r="B71" s="208" t="s">
        <v>122</v>
      </c>
      <c r="C71" s="209" t="s">
        <v>86</v>
      </c>
      <c r="D71" s="209" t="s">
        <v>87</v>
      </c>
      <c r="E71" s="210" t="s">
        <v>88</v>
      </c>
      <c r="F71" s="209" t="s">
        <v>89</v>
      </c>
      <c r="G71" s="211" t="s">
        <v>14</v>
      </c>
      <c r="H71" s="205" t="s">
        <v>90</v>
      </c>
      <c r="I71" s="206" t="s">
        <v>91</v>
      </c>
      <c r="J71" s="206" t="s">
        <v>91</v>
      </c>
      <c r="K71" s="206" t="s">
        <v>91</v>
      </c>
      <c r="L71" s="207" t="s">
        <v>92</v>
      </c>
      <c r="M71" s="206" t="s">
        <v>91</v>
      </c>
      <c r="N71" s="207" t="s">
        <v>92</v>
      </c>
      <c r="O71" s="206" t="s">
        <v>91</v>
      </c>
    </row>
    <row r="72" spans="2:15" ht="20.100000000000001" customHeight="1" x14ac:dyDescent="0.3">
      <c r="B72" s="202" t="s">
        <v>62</v>
      </c>
      <c r="C72" s="203" t="s">
        <v>86</v>
      </c>
      <c r="D72" s="203" t="s">
        <v>87</v>
      </c>
      <c r="E72" s="198" t="s">
        <v>88</v>
      </c>
      <c r="F72" s="203" t="s">
        <v>89</v>
      </c>
      <c r="G72" s="204" t="s">
        <v>14</v>
      </c>
      <c r="H72" s="205" t="s">
        <v>90</v>
      </c>
      <c r="I72" s="206" t="s">
        <v>91</v>
      </c>
      <c r="J72" s="206" t="s">
        <v>91</v>
      </c>
      <c r="K72" s="206" t="s">
        <v>91</v>
      </c>
      <c r="L72" s="207" t="s">
        <v>92</v>
      </c>
      <c r="M72" s="206" t="s">
        <v>91</v>
      </c>
      <c r="N72" s="207" t="s">
        <v>92</v>
      </c>
      <c r="O72" s="206" t="s">
        <v>91</v>
      </c>
    </row>
    <row r="73" spans="2:15" ht="20.100000000000001" customHeight="1" x14ac:dyDescent="0.3">
      <c r="B73" s="208" t="s">
        <v>61</v>
      </c>
      <c r="C73" s="209" t="s">
        <v>123</v>
      </c>
      <c r="D73" s="209" t="s">
        <v>120</v>
      </c>
      <c r="E73" s="210" t="s">
        <v>88</v>
      </c>
      <c r="F73" s="209" t="s">
        <v>89</v>
      </c>
      <c r="G73" s="211" t="s">
        <v>14</v>
      </c>
      <c r="H73" s="205" t="s">
        <v>90</v>
      </c>
      <c r="I73" s="205" t="s">
        <v>90</v>
      </c>
      <c r="J73" s="205" t="s">
        <v>90</v>
      </c>
      <c r="K73" s="206" t="s">
        <v>91</v>
      </c>
      <c r="L73" s="206" t="s">
        <v>91</v>
      </c>
      <c r="M73" s="206" t="s">
        <v>91</v>
      </c>
      <c r="N73" s="207" t="s">
        <v>92</v>
      </c>
      <c r="O73" s="206" t="s">
        <v>91</v>
      </c>
    </row>
    <row r="74" spans="2:15" ht="20.100000000000001" customHeight="1" x14ac:dyDescent="0.3">
      <c r="B74" s="202" t="s">
        <v>124</v>
      </c>
      <c r="C74" s="203" t="s">
        <v>125</v>
      </c>
      <c r="D74" s="203" t="s">
        <v>120</v>
      </c>
      <c r="E74" s="198" t="s">
        <v>88</v>
      </c>
      <c r="F74" s="203" t="s">
        <v>89</v>
      </c>
      <c r="G74" s="204" t="s">
        <v>14</v>
      </c>
      <c r="H74" s="205" t="s">
        <v>90</v>
      </c>
      <c r="I74" s="205" t="s">
        <v>90</v>
      </c>
      <c r="J74" s="205" t="s">
        <v>90</v>
      </c>
      <c r="K74" s="206" t="s">
        <v>91</v>
      </c>
      <c r="L74" s="207" t="s">
        <v>92</v>
      </c>
      <c r="M74" s="206" t="s">
        <v>91</v>
      </c>
      <c r="N74" s="206" t="s">
        <v>91</v>
      </c>
      <c r="O74" s="206" t="s">
        <v>91</v>
      </c>
    </row>
    <row r="75" spans="2:15" ht="20.100000000000001" customHeight="1" x14ac:dyDescent="0.3">
      <c r="B75" s="208" t="s">
        <v>126</v>
      </c>
      <c r="C75" s="209" t="s">
        <v>94</v>
      </c>
      <c r="D75" s="209" t="s">
        <v>87</v>
      </c>
      <c r="E75" s="210" t="s">
        <v>88</v>
      </c>
      <c r="F75" s="209" t="s">
        <v>89</v>
      </c>
      <c r="G75" s="211" t="s">
        <v>14</v>
      </c>
      <c r="H75" s="205" t="s">
        <v>90</v>
      </c>
      <c r="I75" s="206" t="s">
        <v>91</v>
      </c>
      <c r="J75" s="206" t="s">
        <v>91</v>
      </c>
      <c r="K75" s="206" t="s">
        <v>91</v>
      </c>
      <c r="L75" s="206" t="s">
        <v>91</v>
      </c>
      <c r="M75" s="206" t="s">
        <v>91</v>
      </c>
      <c r="N75" s="207" t="s">
        <v>92</v>
      </c>
      <c r="O75" s="206" t="s">
        <v>91</v>
      </c>
    </row>
    <row r="76" spans="2:15" ht="20.100000000000001" customHeight="1" x14ac:dyDescent="0.3">
      <c r="B76" s="202" t="s">
        <v>127</v>
      </c>
      <c r="C76" s="203" t="s">
        <v>105</v>
      </c>
      <c r="D76" s="203" t="s">
        <v>87</v>
      </c>
      <c r="E76" s="198" t="s">
        <v>88</v>
      </c>
      <c r="F76" s="203" t="s">
        <v>89</v>
      </c>
      <c r="G76" s="204" t="s">
        <v>14</v>
      </c>
      <c r="H76" s="205" t="s">
        <v>90</v>
      </c>
      <c r="I76" s="206" t="s">
        <v>91</v>
      </c>
      <c r="J76" s="206" t="s">
        <v>91</v>
      </c>
      <c r="K76" s="206" t="s">
        <v>91</v>
      </c>
      <c r="L76" s="207" t="s">
        <v>92</v>
      </c>
      <c r="M76" s="206" t="s">
        <v>91</v>
      </c>
      <c r="N76" s="206" t="s">
        <v>91</v>
      </c>
      <c r="O76" s="206" t="s">
        <v>91</v>
      </c>
    </row>
    <row r="77" spans="2:15" ht="20.100000000000001" customHeight="1" x14ac:dyDescent="0.3">
      <c r="B77" s="208" t="s">
        <v>128</v>
      </c>
      <c r="C77" s="209" t="s">
        <v>115</v>
      </c>
      <c r="D77" s="209" t="s">
        <v>113</v>
      </c>
      <c r="E77" s="213" t="s">
        <v>6</v>
      </c>
      <c r="F77" s="209" t="s">
        <v>89</v>
      </c>
      <c r="G77" s="211" t="s">
        <v>15</v>
      </c>
      <c r="H77" s="207" t="s">
        <v>92</v>
      </c>
      <c r="I77" s="206" t="s">
        <v>91</v>
      </c>
      <c r="J77" s="206" t="s">
        <v>91</v>
      </c>
      <c r="K77" s="206" t="s">
        <v>91</v>
      </c>
      <c r="L77" s="207" t="s">
        <v>92</v>
      </c>
      <c r="M77" s="207" t="s">
        <v>92</v>
      </c>
      <c r="N77" s="206" t="s">
        <v>91</v>
      </c>
      <c r="O77" s="206" t="s">
        <v>91</v>
      </c>
    </row>
    <row r="78" spans="2:15" ht="20.100000000000001" customHeight="1" x14ac:dyDescent="0.3">
      <c r="B78" s="202" t="s">
        <v>63</v>
      </c>
      <c r="C78" s="203" t="s">
        <v>121</v>
      </c>
      <c r="D78" s="203" t="s">
        <v>120</v>
      </c>
      <c r="E78" s="198" t="s">
        <v>88</v>
      </c>
      <c r="F78" s="203" t="s">
        <v>89</v>
      </c>
      <c r="G78" s="204" t="s">
        <v>16</v>
      </c>
      <c r="H78" s="205" t="s">
        <v>90</v>
      </c>
      <c r="I78" s="205" t="s">
        <v>90</v>
      </c>
      <c r="J78" s="205" t="s">
        <v>90</v>
      </c>
      <c r="K78" s="206" t="s">
        <v>91</v>
      </c>
      <c r="L78" s="206" t="s">
        <v>91</v>
      </c>
      <c r="M78" s="206" t="s">
        <v>91</v>
      </c>
      <c r="N78" s="206" t="s">
        <v>91</v>
      </c>
      <c r="O78" s="206" t="s">
        <v>91</v>
      </c>
    </row>
    <row r="79" spans="2:15" ht="20.100000000000001" customHeight="1" x14ac:dyDescent="0.3">
      <c r="B79" s="208" t="s">
        <v>129</v>
      </c>
      <c r="C79" s="209" t="s">
        <v>123</v>
      </c>
      <c r="D79" s="209" t="s">
        <v>120</v>
      </c>
      <c r="E79" s="212" t="s">
        <v>100</v>
      </c>
      <c r="F79" s="209" t="s">
        <v>89</v>
      </c>
      <c r="G79" s="211" t="s">
        <v>15</v>
      </c>
      <c r="H79" s="205" t="s">
        <v>90</v>
      </c>
      <c r="I79" s="207" t="s">
        <v>92</v>
      </c>
      <c r="J79" s="207" t="s">
        <v>92</v>
      </c>
      <c r="K79" s="206" t="s">
        <v>91</v>
      </c>
      <c r="L79" s="206" t="s">
        <v>91</v>
      </c>
      <c r="M79" s="206" t="s">
        <v>91</v>
      </c>
      <c r="N79" s="206" t="s">
        <v>91</v>
      </c>
      <c r="O79" s="206" t="s">
        <v>91</v>
      </c>
    </row>
    <row r="80" spans="2:15" ht="20.100000000000001" customHeight="1" x14ac:dyDescent="0.3">
      <c r="B80" s="202" t="s">
        <v>130</v>
      </c>
      <c r="C80" s="203" t="s">
        <v>94</v>
      </c>
      <c r="D80" s="203" t="s">
        <v>87</v>
      </c>
      <c r="E80" s="198" t="s">
        <v>88</v>
      </c>
      <c r="F80" s="203" t="s">
        <v>89</v>
      </c>
      <c r="G80" s="204" t="s">
        <v>16</v>
      </c>
      <c r="H80" s="205" t="s">
        <v>90</v>
      </c>
      <c r="I80" s="206" t="s">
        <v>91</v>
      </c>
      <c r="J80" s="206" t="s">
        <v>91</v>
      </c>
      <c r="K80" s="206" t="s">
        <v>91</v>
      </c>
      <c r="L80" s="206" t="s">
        <v>91</v>
      </c>
      <c r="M80" s="206" t="s">
        <v>91</v>
      </c>
      <c r="N80" s="206" t="s">
        <v>91</v>
      </c>
      <c r="O80" s="206" t="s">
        <v>91</v>
      </c>
    </row>
    <row r="81" spans="1:15" ht="20.100000000000001" customHeight="1" x14ac:dyDescent="0.3">
      <c r="B81" s="208" t="s">
        <v>131</v>
      </c>
      <c r="C81" s="209" t="s">
        <v>94</v>
      </c>
      <c r="D81" s="209" t="s">
        <v>87</v>
      </c>
      <c r="E81" s="212" t="s">
        <v>100</v>
      </c>
      <c r="F81" s="209" t="s">
        <v>89</v>
      </c>
      <c r="G81" s="211" t="s">
        <v>16</v>
      </c>
      <c r="H81" s="205" t="s">
        <v>90</v>
      </c>
      <c r="I81" s="206" t="s">
        <v>91</v>
      </c>
      <c r="J81" s="206" t="s">
        <v>91</v>
      </c>
      <c r="K81" s="206" t="s">
        <v>91</v>
      </c>
      <c r="L81" s="206" t="s">
        <v>91</v>
      </c>
      <c r="M81" s="206" t="s">
        <v>91</v>
      </c>
      <c r="N81" s="206" t="s">
        <v>91</v>
      </c>
      <c r="O81" s="206" t="s">
        <v>91</v>
      </c>
    </row>
    <row r="82" spans="1:15" ht="20.100000000000001" customHeight="1" x14ac:dyDescent="0.3">
      <c r="B82" s="202" t="s">
        <v>132</v>
      </c>
      <c r="C82" s="203" t="s">
        <v>94</v>
      </c>
      <c r="D82" s="203" t="s">
        <v>87</v>
      </c>
      <c r="E82" s="196" t="s">
        <v>100</v>
      </c>
      <c r="F82" s="203" t="s">
        <v>89</v>
      </c>
      <c r="G82" s="204" t="s">
        <v>16</v>
      </c>
      <c r="H82" s="205" t="s">
        <v>90</v>
      </c>
      <c r="I82" s="206" t="s">
        <v>91</v>
      </c>
      <c r="J82" s="206" t="s">
        <v>91</v>
      </c>
      <c r="K82" s="206" t="s">
        <v>91</v>
      </c>
      <c r="L82" s="206" t="s">
        <v>91</v>
      </c>
      <c r="M82" s="206" t="s">
        <v>91</v>
      </c>
      <c r="N82" s="206" t="s">
        <v>91</v>
      </c>
      <c r="O82" s="206" t="s">
        <v>91</v>
      </c>
    </row>
    <row r="83" spans="1:15" ht="20.100000000000001" customHeight="1" x14ac:dyDescent="0.3">
      <c r="B83" s="208" t="s">
        <v>133</v>
      </c>
      <c r="C83" s="209" t="s">
        <v>86</v>
      </c>
      <c r="D83" s="209" t="s">
        <v>87</v>
      </c>
      <c r="E83" s="210" t="s">
        <v>88</v>
      </c>
      <c r="F83" s="209" t="s">
        <v>103</v>
      </c>
      <c r="G83" s="211" t="s">
        <v>16</v>
      </c>
      <c r="H83" s="205" t="s">
        <v>90</v>
      </c>
      <c r="I83" s="206" t="s">
        <v>91</v>
      </c>
      <c r="J83" s="205" t="s">
        <v>90</v>
      </c>
      <c r="K83" s="206" t="s">
        <v>91</v>
      </c>
      <c r="L83" s="206" t="s">
        <v>91</v>
      </c>
      <c r="M83" s="206" t="s">
        <v>91</v>
      </c>
      <c r="N83" s="206" t="s">
        <v>91</v>
      </c>
      <c r="O83" s="206" t="s">
        <v>91</v>
      </c>
    </row>
    <row r="84" spans="1:15" ht="20.100000000000001" customHeight="1" x14ac:dyDescent="0.3">
      <c r="A84" s="194"/>
      <c r="B84" s="214" t="s">
        <v>134</v>
      </c>
      <c r="C84" s="215" t="s">
        <v>135</v>
      </c>
      <c r="D84" s="194"/>
      <c r="E84" s="212" t="s">
        <v>136</v>
      </c>
      <c r="F84" s="194"/>
      <c r="G84" s="216" t="s">
        <v>137</v>
      </c>
      <c r="H84" s="217" t="s">
        <v>138</v>
      </c>
      <c r="I84" s="194"/>
      <c r="J84" s="194"/>
      <c r="K84" s="194"/>
      <c r="L84" s="194"/>
      <c r="M84" s="194"/>
      <c r="N84" s="194"/>
      <c r="O84" s="194"/>
    </row>
    <row r="85" spans="1:15" ht="20.100000000000001" customHeight="1" x14ac:dyDescent="0.3"/>
    <row r="86" spans="1:15" ht="20.100000000000001" customHeight="1" x14ac:dyDescent="0.3"/>
    <row r="87" spans="1:15" ht="20.100000000000001" customHeight="1" x14ac:dyDescent="0.3"/>
    <row r="88" spans="1:15" ht="20.100000000000001" customHeight="1" x14ac:dyDescent="0.3"/>
    <row r="89" spans="1:15" ht="20.100000000000001" customHeight="1" x14ac:dyDescent="0.3"/>
    <row r="90" spans="1:15" ht="20.100000000000001" customHeight="1" x14ac:dyDescent="0.3"/>
    <row r="91" spans="1:15" ht="20.100000000000001" customHeight="1" x14ac:dyDescent="0.3"/>
    <row r="92" spans="1:15" ht="20.100000000000001" customHeight="1" x14ac:dyDescent="0.3"/>
    <row r="93" spans="1:15" ht="20.100000000000001" customHeight="1" x14ac:dyDescent="0.3"/>
    <row r="94" spans="1:15" ht="20.100000000000001" customHeight="1" x14ac:dyDescent="0.3"/>
    <row r="95" spans="1:15" ht="20.100000000000001" customHeight="1" x14ac:dyDescent="0.3"/>
    <row r="96" spans="1:15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18" customHeight="1" x14ac:dyDescent="0.3"/>
    <row r="173" spans="1:16" ht="68.400000000000006" customHeight="1" x14ac:dyDescent="0.3"/>
    <row r="175" spans="1:16" s="166" customFormat="1" ht="59.1" customHeigh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7" ht="65.099999999999994" customHeight="1" x14ac:dyDescent="0.3"/>
    <row r="179" ht="84.6" customHeight="1" x14ac:dyDescent="0.3"/>
  </sheetData>
  <mergeCells count="1">
    <mergeCell ref="E3:G3"/>
  </mergeCells>
  <conditionalFormatting sqref="D15">
    <cfRule type="cellIs" dxfId="648" priority="1" operator="greaterThanOrEqual">
      <formula>70</formula>
    </cfRule>
    <cfRule type="cellIs" dxfId="647" priority="2" operator="between">
      <formula>40</formula>
      <formula>70</formula>
    </cfRule>
    <cfRule type="cellIs" dxfId="646" priority="3" operator="lessThan">
      <formula>40</formula>
    </cfRule>
  </conditionalFormatting>
  <conditionalFormatting sqref="D19">
    <cfRule type="cellIs" dxfId="645" priority="13" operator="greaterThanOrEqual">
      <formula>70</formula>
    </cfRule>
    <cfRule type="cellIs" dxfId="644" priority="14" operator="between">
      <formula>40</formula>
      <formula>70</formula>
    </cfRule>
    <cfRule type="cellIs" dxfId="643" priority="15" operator="lessThan">
      <formula>40</formula>
    </cfRule>
  </conditionalFormatting>
  <conditionalFormatting sqref="G15">
    <cfRule type="cellIs" dxfId="642" priority="4" operator="greaterThanOrEqual">
      <formula>70</formula>
    </cfRule>
    <cfRule type="cellIs" dxfId="641" priority="5" operator="between">
      <formula>40</formula>
      <formula>70</formula>
    </cfRule>
    <cfRule type="cellIs" dxfId="640" priority="6" operator="lessThan">
      <formula>40</formula>
    </cfRule>
  </conditionalFormatting>
  <conditionalFormatting sqref="G19">
    <cfRule type="cellIs" dxfId="639" priority="16" operator="greaterThanOrEqual">
      <formula>70</formula>
    </cfRule>
    <cfRule type="cellIs" dxfId="638" priority="17" operator="between">
      <formula>40</formula>
      <formula>70</formula>
    </cfRule>
    <cfRule type="cellIs" dxfId="637" priority="18" operator="lessThan">
      <formula>40</formula>
    </cfRule>
  </conditionalFormatting>
  <conditionalFormatting sqref="J15">
    <cfRule type="cellIs" dxfId="636" priority="7" operator="greaterThanOrEqual">
      <formula>70</formula>
    </cfRule>
    <cfRule type="cellIs" dxfId="635" priority="8" operator="between">
      <formula>40</formula>
      <formula>70</formula>
    </cfRule>
    <cfRule type="cellIs" dxfId="634" priority="9" operator="lessThan">
      <formula>40</formula>
    </cfRule>
  </conditionalFormatting>
  <conditionalFormatting sqref="J19">
    <cfRule type="cellIs" dxfId="633" priority="19" operator="greaterThanOrEqual">
      <formula>70</formula>
    </cfRule>
    <cfRule type="cellIs" dxfId="632" priority="20" operator="between">
      <formula>40</formula>
      <formula>70</formula>
    </cfRule>
    <cfRule type="cellIs" dxfId="631" priority="21" operator="lessThan">
      <formula>40</formula>
    </cfRule>
  </conditionalFormatting>
  <conditionalFormatting sqref="M15">
    <cfRule type="cellIs" dxfId="630" priority="10" operator="greaterThanOrEqual">
      <formula>70</formula>
    </cfRule>
    <cfRule type="cellIs" dxfId="629" priority="11" operator="between">
      <formula>40</formula>
      <formula>70</formula>
    </cfRule>
    <cfRule type="cellIs" dxfId="628" priority="12" operator="lessThan">
      <formula>40</formula>
    </cfRule>
  </conditionalFormatting>
  <conditionalFormatting sqref="M19">
    <cfRule type="cellIs" dxfId="627" priority="22" operator="greaterThanOrEqual">
      <formula>70</formula>
    </cfRule>
    <cfRule type="cellIs" dxfId="626" priority="23" operator="between">
      <formula>40</formula>
      <formula>70</formula>
    </cfRule>
    <cfRule type="cellIs" dxfId="625" priority="24" operator="lessThan">
      <formula>40</formula>
    </cfRule>
  </conditionalFormatting>
  <dataValidations count="3">
    <dataValidation type="list" allowBlank="1" showInputMessage="1" showErrorMessage="1" sqref="C3" xr:uid="{420566A1-54A4-48AF-9C52-7320E1F94E7D}">
      <formula1>"Todas las modalidades,Presencial,Virtual,Híbrido"</formula1>
    </dataValidation>
    <dataValidation type="list" allowBlank="1" showInputMessage="1" showErrorMessage="1" sqref="H3" xr:uid="{DA6FCC0D-E65A-497B-A213-43D13A902BDA}">
      <formula1>$P$6:$P$10</formula1>
    </dataValidation>
    <dataValidation type="list" allowBlank="1" showInputMessage="1" showErrorMessage="1" sqref="E3:G3" xr:uid="{95368625-3CDD-40EF-9FEC-11C48F8D6DC3}">
      <formula1>$P$1:$P$4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0005-09F1-4E6A-9C5B-5530F5C9D660}">
  <sheetPr codeName="Hoja2"/>
  <dimension ref="B1:N230"/>
  <sheetViews>
    <sheetView showGridLines="0" zoomScale="80" zoomScaleNormal="63" workbookViewId="0">
      <selection activeCell="B15" sqref="B15"/>
    </sheetView>
  </sheetViews>
  <sheetFormatPr baseColWidth="10" defaultColWidth="11.44140625" defaultRowHeight="14.4" x14ac:dyDescent="0.3"/>
  <cols>
    <col min="1" max="1" width="4.44140625" customWidth="1"/>
    <col min="2" max="2" width="27.88671875" customWidth="1"/>
    <col min="3" max="3" width="20.5546875" customWidth="1"/>
    <col min="4" max="4" width="29.5546875" customWidth="1"/>
    <col min="5" max="5" width="31" customWidth="1"/>
    <col min="6" max="6" width="32" style="1" customWidth="1"/>
    <col min="7" max="7" width="19.5546875" style="1" bestFit="1" customWidth="1"/>
    <col min="8" max="8" width="24.44140625" style="1" bestFit="1" customWidth="1"/>
    <col min="9" max="9" width="17.109375" style="1" bestFit="1" customWidth="1"/>
    <col min="10" max="10" width="34.5546875" style="1" bestFit="1" customWidth="1"/>
  </cols>
  <sheetData>
    <row r="1" spans="2:14" x14ac:dyDescent="0.3">
      <c r="F1"/>
      <c r="G1"/>
      <c r="H1"/>
      <c r="I1"/>
      <c r="J1"/>
    </row>
    <row r="2" spans="2:14" ht="19.8" x14ac:dyDescent="0.4">
      <c r="B2" s="111" t="s">
        <v>139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2:14" x14ac:dyDescent="0.3">
      <c r="F3"/>
      <c r="G3"/>
      <c r="H3"/>
      <c r="I3"/>
      <c r="J3"/>
    </row>
    <row r="4" spans="2:14" x14ac:dyDescent="0.3">
      <c r="B4" s="112" t="s">
        <v>140</v>
      </c>
      <c r="C4" s="113" t="s">
        <v>141</v>
      </c>
      <c r="E4" s="114" t="s">
        <v>142</v>
      </c>
      <c r="F4"/>
      <c r="G4" s="115" t="s">
        <v>143</v>
      </c>
      <c r="H4"/>
      <c r="I4" s="156" t="s">
        <v>144</v>
      </c>
      <c r="J4"/>
      <c r="K4" s="115" t="s">
        <v>145</v>
      </c>
    </row>
    <row r="5" spans="2:14" x14ac:dyDescent="0.3">
      <c r="F5"/>
      <c r="G5"/>
      <c r="H5"/>
      <c r="I5"/>
      <c r="J5"/>
    </row>
    <row r="6" spans="2:14" ht="15.6" x14ac:dyDescent="0.3">
      <c r="B6" s="117" t="s">
        <v>146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</row>
    <row r="7" spans="2:14" ht="24.6" x14ac:dyDescent="0.3">
      <c r="B7" s="119" t="s">
        <v>147</v>
      </c>
      <c r="C7" s="157" t="s">
        <v>148</v>
      </c>
      <c r="D7" s="157" t="s">
        <v>149</v>
      </c>
      <c r="E7" s="158" t="s">
        <v>150</v>
      </c>
      <c r="F7" s="158" t="s">
        <v>151</v>
      </c>
      <c r="G7" s="159" t="s">
        <v>152</v>
      </c>
      <c r="H7" s="159" t="s">
        <v>153</v>
      </c>
      <c r="I7" s="160" t="s">
        <v>154</v>
      </c>
      <c r="J7" s="119" t="s">
        <v>32</v>
      </c>
      <c r="K7" s="119" t="s">
        <v>155</v>
      </c>
      <c r="L7" s="119" t="s">
        <v>156</v>
      </c>
    </row>
    <row r="8" spans="2:14" x14ac:dyDescent="0.3">
      <c r="B8" s="121" t="s">
        <v>157</v>
      </c>
      <c r="C8" s="124">
        <f>COUNTIF(Maestro!R11:R70,"finalizado")</f>
        <v>0</v>
      </c>
      <c r="D8" s="125">
        <f t="shared" ref="D8:D16" si="0">IFERROR(C8/J8,0)</f>
        <v>0</v>
      </c>
      <c r="E8" s="126">
        <f>COUNTIF(Maestro!R11:R70,"en proceso")</f>
        <v>0</v>
      </c>
      <c r="F8" s="127">
        <f t="shared" ref="F8:F16" si="1">IFERROR(E8/J8,0)</f>
        <v>0</v>
      </c>
      <c r="G8" s="128">
        <f>COUNTIF(Maestro!R11:R70,"sin iniciar")</f>
        <v>0</v>
      </c>
      <c r="H8" s="129">
        <f t="shared" ref="H8:H16" si="2">IFERROR(G8/J8,0)</f>
        <v>0</v>
      </c>
      <c r="I8" s="130">
        <f t="shared" ref="I8:I16" si="3">J8-C8-E8-G8</f>
        <v>60</v>
      </c>
      <c r="J8" s="130">
        <f>COUNTA(Maestro!E11:E70)</f>
        <v>60</v>
      </c>
      <c r="K8" s="122" t="str">
        <f t="shared" ref="K8:K16" si="4">REPT("█",ROUND(D8*15,0))&amp;REPT("░",15-ROUND(D8*15,0))</f>
        <v>░░░░░░░░░░░░░░░</v>
      </c>
      <c r="L8" s="123" t="str">
        <f t="shared" ref="L8:L16" si="5">IF(D8=1,"✔ Completo",IF(C8+E8=0,"✖ Sin iniciar",IF(D8&gt;=0.75,"⏫ Avanzado (≥75%)","⏳ En marcha")))</f>
        <v>✖ Sin iniciar</v>
      </c>
    </row>
    <row r="9" spans="2:14" x14ac:dyDescent="0.3">
      <c r="B9" s="132" t="s">
        <v>158</v>
      </c>
      <c r="C9" s="136">
        <f>COUNTIF(Maestro!U11:U70,"finalizado")</f>
        <v>1</v>
      </c>
      <c r="D9" s="137">
        <f t="shared" si="0"/>
        <v>1.6666666666666666E-2</v>
      </c>
      <c r="E9" s="138">
        <f>COUNTIF(Maestro!U11:U70,"en proceso")</f>
        <v>0</v>
      </c>
      <c r="F9" s="139">
        <f t="shared" si="1"/>
        <v>0</v>
      </c>
      <c r="G9" s="140">
        <f>COUNTIF(Maestro!U11:U70,"sin iniciar")</f>
        <v>0</v>
      </c>
      <c r="H9" s="141">
        <f t="shared" si="2"/>
        <v>0</v>
      </c>
      <c r="I9" s="142">
        <f t="shared" si="3"/>
        <v>59</v>
      </c>
      <c r="J9" s="142">
        <f>COUNTA(Maestro!E11:E70)</f>
        <v>60</v>
      </c>
      <c r="K9" s="133" t="str">
        <f t="shared" si="4"/>
        <v>░░░░░░░░░░░░░░░</v>
      </c>
      <c r="L9" s="135" t="str">
        <f t="shared" si="5"/>
        <v>⏳ En marcha</v>
      </c>
    </row>
    <row r="10" spans="2:14" x14ac:dyDescent="0.3">
      <c r="B10" s="120" t="s">
        <v>159</v>
      </c>
      <c r="C10" s="124">
        <f>COUNTIF(Maestro!AR11:AR70,"finalizado")</f>
        <v>0</v>
      </c>
      <c r="D10" s="125">
        <f t="shared" si="0"/>
        <v>0</v>
      </c>
      <c r="E10" s="126">
        <f>COUNTIF(Maestro!AR11:AR70,"en proceso")</f>
        <v>0</v>
      </c>
      <c r="F10" s="127">
        <f t="shared" si="1"/>
        <v>0</v>
      </c>
      <c r="G10" s="128">
        <f>COUNTIF(Maestro!AR11:AR70,"sin iniciar")</f>
        <v>0</v>
      </c>
      <c r="H10" s="129">
        <f t="shared" si="2"/>
        <v>0</v>
      </c>
      <c r="I10" s="130">
        <f t="shared" si="3"/>
        <v>60</v>
      </c>
      <c r="J10" s="130">
        <f>COUNTA(Maestro!E11:E70)</f>
        <v>60</v>
      </c>
      <c r="K10" s="122" t="str">
        <f t="shared" si="4"/>
        <v>░░░░░░░░░░░░░░░</v>
      </c>
      <c r="L10" s="123" t="str">
        <f t="shared" si="5"/>
        <v>✖ Sin iniciar</v>
      </c>
    </row>
    <row r="11" spans="2:14" x14ac:dyDescent="0.3">
      <c r="B11" s="131" t="s">
        <v>160</v>
      </c>
      <c r="C11" s="136">
        <f>COUNTIF(Maestro!AQ11:AQ70,"&gt;=1")</f>
        <v>0</v>
      </c>
      <c r="D11" s="137">
        <f t="shared" si="0"/>
        <v>0</v>
      </c>
      <c r="E11" s="138">
        <f>COUNTIFS(Maestro!AQ11:AQ70,"&gt;0",Maestro!AQ11:AQ70,"&lt;1")</f>
        <v>0</v>
      </c>
      <c r="F11" s="139">
        <f t="shared" si="1"/>
        <v>0</v>
      </c>
      <c r="G11" s="140">
        <f>COUNTIF(Maestro!AQ11:AQ70,0)</f>
        <v>0</v>
      </c>
      <c r="H11" s="141">
        <f t="shared" si="2"/>
        <v>0</v>
      </c>
      <c r="I11" s="142">
        <f t="shared" si="3"/>
        <v>60</v>
      </c>
      <c r="J11" s="142">
        <f>COUNTA(Maestro!E11:E70)</f>
        <v>60</v>
      </c>
      <c r="K11" s="133" t="str">
        <f t="shared" si="4"/>
        <v>░░░░░░░░░░░░░░░</v>
      </c>
      <c r="L11" s="135" t="str">
        <f t="shared" si="5"/>
        <v>✖ Sin iniciar</v>
      </c>
    </row>
    <row r="12" spans="2:14" x14ac:dyDescent="0.3">
      <c r="B12" s="120" t="s">
        <v>161</v>
      </c>
      <c r="C12" s="124">
        <f>COUNTIF(Maestro!AS11:AS70,"finalizado")</f>
        <v>0</v>
      </c>
      <c r="D12" s="125">
        <f t="shared" si="0"/>
        <v>0</v>
      </c>
      <c r="E12" s="126">
        <f>COUNTIF(Maestro!AS11:AS70,"en proceso")</f>
        <v>0</v>
      </c>
      <c r="F12" s="127">
        <f t="shared" si="1"/>
        <v>0</v>
      </c>
      <c r="G12" s="128">
        <f>COUNTIF(Maestro!AS11:AS70,"sin iniciar")</f>
        <v>0</v>
      </c>
      <c r="H12" s="129">
        <f t="shared" si="2"/>
        <v>0</v>
      </c>
      <c r="I12" s="130">
        <f t="shared" si="3"/>
        <v>60</v>
      </c>
      <c r="J12" s="130">
        <f>COUNTA(Maestro!E11:E70)</f>
        <v>60</v>
      </c>
      <c r="K12" s="122" t="str">
        <f t="shared" si="4"/>
        <v>░░░░░░░░░░░░░░░</v>
      </c>
      <c r="L12" s="123" t="str">
        <f t="shared" si="5"/>
        <v>✖ Sin iniciar</v>
      </c>
    </row>
    <row r="13" spans="2:14" x14ac:dyDescent="0.3">
      <c r="B13" s="131" t="s">
        <v>162</v>
      </c>
      <c r="C13" s="136">
        <f>COUNTIF(Maestro!BD11:BD70,"finalizado")</f>
        <v>0</v>
      </c>
      <c r="D13" s="137">
        <f t="shared" si="0"/>
        <v>0</v>
      </c>
      <c r="E13" s="138">
        <f>COUNTIF(Maestro!BD11:BD70,"en proceso")</f>
        <v>0</v>
      </c>
      <c r="F13" s="139">
        <f t="shared" si="1"/>
        <v>0</v>
      </c>
      <c r="G13" s="140">
        <f>COUNTIF(Maestro!BD11:BD70,"sin iniciar")</f>
        <v>0</v>
      </c>
      <c r="H13" s="141">
        <f t="shared" si="2"/>
        <v>0</v>
      </c>
      <c r="I13" s="142">
        <f t="shared" si="3"/>
        <v>60</v>
      </c>
      <c r="J13" s="142">
        <f>COUNTA(Maestro!E11:E70)</f>
        <v>60</v>
      </c>
      <c r="K13" s="133" t="str">
        <f t="shared" si="4"/>
        <v>░░░░░░░░░░░░░░░</v>
      </c>
      <c r="L13" s="135" t="str">
        <f t="shared" si="5"/>
        <v>✖ Sin iniciar</v>
      </c>
    </row>
    <row r="14" spans="2:14" x14ac:dyDescent="0.3">
      <c r="B14" s="120" t="s">
        <v>163</v>
      </c>
      <c r="C14" s="124">
        <f>COUNTIF(Maestro!BE11:BE70,"finalizado")</f>
        <v>0</v>
      </c>
      <c r="D14" s="125">
        <f t="shared" si="0"/>
        <v>0</v>
      </c>
      <c r="E14" s="126">
        <f>COUNTIF(Maestro!BE11:BE70,"en proceso")</f>
        <v>0</v>
      </c>
      <c r="F14" s="127">
        <f t="shared" si="1"/>
        <v>0</v>
      </c>
      <c r="G14" s="128">
        <f>COUNTIF(Maestro!BE11:BE70,"sin iniciar")</f>
        <v>0</v>
      </c>
      <c r="H14" s="129">
        <f t="shared" si="2"/>
        <v>0</v>
      </c>
      <c r="I14" s="130">
        <f t="shared" si="3"/>
        <v>60</v>
      </c>
      <c r="J14" s="130">
        <f>COUNTA(Maestro!E11:E70)</f>
        <v>60</v>
      </c>
      <c r="K14" s="122" t="str">
        <f t="shared" si="4"/>
        <v>░░░░░░░░░░░░░░░</v>
      </c>
      <c r="L14" s="123" t="str">
        <f t="shared" si="5"/>
        <v>✖ Sin iniciar</v>
      </c>
    </row>
    <row r="15" spans="2:14" x14ac:dyDescent="0.3">
      <c r="B15" s="131" t="s">
        <v>164</v>
      </c>
      <c r="C15" s="136">
        <f>COUNTIF(Maestro!BF11:BF70,"finalizado")</f>
        <v>0</v>
      </c>
      <c r="D15" s="137">
        <f t="shared" si="0"/>
        <v>0</v>
      </c>
      <c r="E15" s="138">
        <f>COUNTIF(Maestro!BF11:BF70,"en proceso")</f>
        <v>0</v>
      </c>
      <c r="F15" s="139">
        <f t="shared" si="1"/>
        <v>0</v>
      </c>
      <c r="G15" s="140">
        <f>COUNTIF(Maestro!BF11:BF70,"sin iniciar")</f>
        <v>0</v>
      </c>
      <c r="H15" s="141">
        <f t="shared" si="2"/>
        <v>0</v>
      </c>
      <c r="I15" s="142">
        <f t="shared" si="3"/>
        <v>60</v>
      </c>
      <c r="J15" s="142">
        <f>COUNTA(Maestro!E11:E70)</f>
        <v>60</v>
      </c>
      <c r="K15" s="133" t="str">
        <f t="shared" si="4"/>
        <v>░░░░░░░░░░░░░░░</v>
      </c>
      <c r="L15" s="135" t="str">
        <f t="shared" si="5"/>
        <v>✖ Sin iniciar</v>
      </c>
    </row>
    <row r="16" spans="2:14" x14ac:dyDescent="0.3">
      <c r="B16" s="120" t="s">
        <v>165</v>
      </c>
      <c r="C16" s="124">
        <f>COUNTIF(Maestro!BP11:BP70,"finalizado")</f>
        <v>0</v>
      </c>
      <c r="D16" s="125">
        <f t="shared" si="0"/>
        <v>0</v>
      </c>
      <c r="E16" s="126">
        <f>COUNTIF(Maestro!BP11:BP70,"en proceso")</f>
        <v>0</v>
      </c>
      <c r="F16" s="127">
        <f t="shared" si="1"/>
        <v>0</v>
      </c>
      <c r="G16" s="128">
        <f>COUNTIF(Maestro!BP11:BP70,"sin iniciar")</f>
        <v>1</v>
      </c>
      <c r="H16" s="129">
        <f t="shared" si="2"/>
        <v>1.6666666666666666E-2</v>
      </c>
      <c r="I16" s="130">
        <f t="shared" si="3"/>
        <v>59</v>
      </c>
      <c r="J16" s="130">
        <f>COUNTA(Maestro!E11:E70)</f>
        <v>60</v>
      </c>
      <c r="K16" s="122" t="str">
        <f t="shared" si="4"/>
        <v>░░░░░░░░░░░░░░░</v>
      </c>
      <c r="L16" s="123" t="str">
        <f t="shared" si="5"/>
        <v>✖ Sin iniciar</v>
      </c>
    </row>
    <row r="17" spans="2:14" x14ac:dyDescent="0.3">
      <c r="F17"/>
      <c r="G17"/>
      <c r="H17"/>
      <c r="I17"/>
      <c r="J17"/>
    </row>
    <row r="18" spans="2:14" ht="15.6" x14ac:dyDescent="0.3">
      <c r="B18" s="117" t="s">
        <v>166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</row>
    <row r="19" spans="2:14" x14ac:dyDescent="0.3">
      <c r="F19"/>
      <c r="G19"/>
      <c r="H19"/>
      <c r="I19"/>
      <c r="J19"/>
    </row>
    <row r="20" spans="2:14" x14ac:dyDescent="0.3">
      <c r="C20" s="118" t="s">
        <v>147</v>
      </c>
      <c r="D20" s="397" t="s">
        <v>100</v>
      </c>
      <c r="E20" s="397"/>
      <c r="F20" s="397"/>
      <c r="G20" s="398" t="s">
        <v>88</v>
      </c>
      <c r="H20" s="398"/>
      <c r="I20" s="398"/>
      <c r="J20" s="399" t="s">
        <v>6</v>
      </c>
      <c r="K20" s="399"/>
      <c r="L20" s="399"/>
    </row>
    <row r="21" spans="2:14" x14ac:dyDescent="0.3">
      <c r="C21" s="143"/>
      <c r="D21" s="144" t="s">
        <v>167</v>
      </c>
      <c r="E21" s="145" t="s">
        <v>168</v>
      </c>
      <c r="F21" s="146" t="s">
        <v>169</v>
      </c>
      <c r="G21" s="144" t="s">
        <v>167</v>
      </c>
      <c r="H21" s="145" t="s">
        <v>168</v>
      </c>
      <c r="I21" s="146" t="s">
        <v>169</v>
      </c>
      <c r="J21" s="144" t="s">
        <v>167</v>
      </c>
      <c r="K21" s="145" t="s">
        <v>168</v>
      </c>
      <c r="L21" s="146" t="s">
        <v>169</v>
      </c>
    </row>
    <row r="22" spans="2:14" x14ac:dyDescent="0.3">
      <c r="B22" t="s">
        <v>170</v>
      </c>
      <c r="C22" s="121" t="s">
        <v>171</v>
      </c>
      <c r="D22" s="147">
        <f>COUNTIFS(Maestro!F11:F70,"Presencial",Maestro!R11:R70,"finalizado")</f>
        <v>0</v>
      </c>
      <c r="E22" s="148">
        <f>COUNTIFS(Maestro!F11:F70,"Presencial",Maestro!R11:R70,"en proceso")</f>
        <v>0</v>
      </c>
      <c r="F22" s="149">
        <f>COUNTIFS(Maestro!F11:F70,"Presencial",Maestro!R11:R70,"sin iniciar")</f>
        <v>0</v>
      </c>
      <c r="G22" s="147">
        <f>COUNTIFS(Maestro!F11:F70,"Virtual",Maestro!R11:R70,"finalizado")</f>
        <v>0</v>
      </c>
      <c r="H22" s="148">
        <f>COUNTIFS(Maestro!F11:F70,"Virtual",Maestro!R11:R70,"en proceso")</f>
        <v>0</v>
      </c>
      <c r="I22" s="149">
        <f>COUNTIFS(Maestro!F11:F70,"Virtual",Maestro!R11:R70,"sin iniciar")</f>
        <v>0</v>
      </c>
      <c r="J22" s="147">
        <f>COUNTIFS(Maestro!F11:F70,"Híbrido",Maestro!R11:R70,"finalizado")</f>
        <v>0</v>
      </c>
      <c r="K22" s="148">
        <f>COUNTIFS(Maestro!F11:F70,"Híbrido",Maestro!R11:R70,"en proceso")</f>
        <v>0</v>
      </c>
      <c r="L22" s="149">
        <f>COUNTIFS(Maestro!F11:F70,"Híbrido",Maestro!R11:R70,"sin iniciar")</f>
        <v>0</v>
      </c>
    </row>
    <row r="23" spans="2:14" x14ac:dyDescent="0.3">
      <c r="C23" s="132" t="s">
        <v>172</v>
      </c>
      <c r="D23" s="150">
        <f>COUNTIFS(Maestro!F11:F70,"Presencial",Maestro!U11:U70,"finalizado")</f>
        <v>0</v>
      </c>
      <c r="E23" s="151">
        <f>COUNTIFS(Maestro!F11:F70,"Presencial",Maestro!U11:U70,"en proceso")</f>
        <v>0</v>
      </c>
      <c r="F23" s="152">
        <f>COUNTIFS(Maestro!F11:F70,"Presencial",Maestro!U11:U70,"sin iniciar")</f>
        <v>0</v>
      </c>
      <c r="G23" s="150">
        <f>COUNTIFS(Maestro!F11:F70,"Virtual",Maestro!U11:U70,"finalizado")</f>
        <v>1</v>
      </c>
      <c r="H23" s="151">
        <f>COUNTIFS(Maestro!F11:F70,"Virtual",Maestro!U11:U70,"en proceso")</f>
        <v>0</v>
      </c>
      <c r="I23" s="152">
        <f>COUNTIFS(Maestro!F11:F70,"Virtual",Maestro!U11:U70,"sin iniciar")</f>
        <v>0</v>
      </c>
      <c r="J23" s="150">
        <f>COUNTIFS(Maestro!F11:F70,"Híbrido",Maestro!U11:U70,"finalizado")</f>
        <v>0</v>
      </c>
      <c r="K23" s="151">
        <f>COUNTIFS(Maestro!F11:F70,"Híbrido",Maestro!U11:U70,"en proceso")</f>
        <v>0</v>
      </c>
      <c r="L23" s="152">
        <f>COUNTIFS(Maestro!F11:F70,"Híbrido",Maestro!U11:U70,"sin iniciar")</f>
        <v>0</v>
      </c>
    </row>
    <row r="24" spans="2:14" x14ac:dyDescent="0.3">
      <c r="C24" s="120" t="s">
        <v>173</v>
      </c>
      <c r="D24" s="147">
        <f>COUNTIFS(Maestro!F11:F70,"Presencial",Maestro!AR11:AR70,"finalizado")</f>
        <v>0</v>
      </c>
      <c r="E24" s="148">
        <f>COUNTIFS(Maestro!F11:F70,"Presencial",Maestro!AR11:AR70,"en proceso")</f>
        <v>0</v>
      </c>
      <c r="F24" s="149">
        <f>COUNTIFS(Maestro!F11:F70,"Presencial",Maestro!AR11:AR70,"sin iniciar")</f>
        <v>0</v>
      </c>
      <c r="G24" s="147">
        <f>COUNTIFS(Maestro!F11:F70,"Virtual",Maestro!AR11:AR70,"finalizado")</f>
        <v>0</v>
      </c>
      <c r="H24" s="148">
        <f>COUNTIFS(Maestro!F11:F70,"Virtual",Maestro!AR11:AR70,"en proceso")</f>
        <v>0</v>
      </c>
      <c r="I24" s="149">
        <f>COUNTIFS(Maestro!F11:F70,"Virtual",Maestro!AR11:AR70,"sin iniciar")</f>
        <v>0</v>
      </c>
      <c r="J24" s="147">
        <f>COUNTIFS(Maestro!F11:F70,"Híbrido",Maestro!AR11:AR70,"finalizado")</f>
        <v>0</v>
      </c>
      <c r="K24" s="148">
        <f>COUNTIFS(Maestro!F11:F70,"Híbrido",Maestro!AR11:AR70,"en proceso")</f>
        <v>0</v>
      </c>
      <c r="L24" s="149">
        <f>COUNTIFS(Maestro!F11:F70,"Híbrido",Maestro!AR11:AR70,"sin iniciar")</f>
        <v>0</v>
      </c>
    </row>
    <row r="25" spans="2:14" x14ac:dyDescent="0.3">
      <c r="C25" s="131" t="s">
        <v>174</v>
      </c>
      <c r="D25" s="150">
        <f>COUNTIFS(Maestro!F11:F70,"Presencial",Maestro!AQ11:AQ70,"&gt;=1")</f>
        <v>0</v>
      </c>
      <c r="E25" s="151">
        <f>COUNTIFS(Maestro!F11:F70,"Presencial",Maestro!AQ11:AQ70,"&gt;0",Maestro!AQ11:AQ70,"&lt;1")</f>
        <v>0</v>
      </c>
      <c r="F25" s="152">
        <f>COUNTIFS(Maestro!F11:F70,"Presencial",Maestro!AQ11:AQ70,0)</f>
        <v>0</v>
      </c>
      <c r="G25" s="150">
        <f>COUNTIFS(Maestro!F11:F70,"Virtual",Maestro!AQ11:AQ70,"&gt;=1")</f>
        <v>0</v>
      </c>
      <c r="H25" s="151">
        <f>COUNTIFS(Maestro!F11:F70,"Virtual",Maestro!AQ11:AQ70,"&gt;0",Maestro!AQ11:AQ70,"&lt;1")</f>
        <v>0</v>
      </c>
      <c r="I25" s="152">
        <f>COUNTIFS(Maestro!F11:F70,"Virtual",Maestro!AQ11:AQ70,0)</f>
        <v>0</v>
      </c>
      <c r="J25" s="150">
        <f>COUNTIFS(Maestro!F11:F70,"Híbrido",Maestro!AQ11:AQ70,"&gt;=1")</f>
        <v>0</v>
      </c>
      <c r="K25" s="151">
        <f>COUNTIFS(Maestro!F11:F70,"Híbrido",Maestro!AQ11:AQ70,"&gt;0",Maestro!AQ11:AQ70,"&lt;1")</f>
        <v>0</v>
      </c>
      <c r="L25" s="152">
        <f>COUNTIFS(Maestro!F11:F70,"Híbrido",Maestro!AQ11:AQ70,0)</f>
        <v>0</v>
      </c>
    </row>
    <row r="26" spans="2:14" x14ac:dyDescent="0.3">
      <c r="C26" s="120" t="s">
        <v>175</v>
      </c>
      <c r="D26" s="147">
        <f>COUNTIFS(Maestro!F11:F70,"Presencial",Maestro!AS11:AS70,"finalizado")</f>
        <v>0</v>
      </c>
      <c r="E26" s="148">
        <f>COUNTIFS(Maestro!F11:F70,"Presencial",Maestro!AS11:AS70,"en proceso")</f>
        <v>0</v>
      </c>
      <c r="F26" s="149">
        <f>COUNTIFS(Maestro!F11:F70,"Presencial",Maestro!AS11:AS70,"sin iniciar")</f>
        <v>0</v>
      </c>
      <c r="G26" s="147">
        <f>COUNTIFS(Maestro!F11:F70,"Virtual",Maestro!AS11:AS70,"finalizado")</f>
        <v>0</v>
      </c>
      <c r="H26" s="148">
        <f>COUNTIFS(Maestro!F11:F70,"Virtual",Maestro!AS11:AS70,"en proceso")</f>
        <v>0</v>
      </c>
      <c r="I26" s="149">
        <f>COUNTIFS(Maestro!F11:F70,"Virtual",Maestro!AS11:AS70,"sin iniciar")</f>
        <v>0</v>
      </c>
      <c r="J26" s="147">
        <f>COUNTIFS(Maestro!F11:F70,"Híbrido",Maestro!AS11:AS70,"finalizado")</f>
        <v>0</v>
      </c>
      <c r="K26" s="148">
        <f>COUNTIFS(Maestro!F11:F70,"Híbrido",Maestro!AS11:AS70,"en proceso")</f>
        <v>0</v>
      </c>
      <c r="L26" s="149">
        <f>COUNTIFS(Maestro!F11:F70,"Híbrido",Maestro!AS11:AS70,"sin iniciar")</f>
        <v>0</v>
      </c>
    </row>
    <row r="27" spans="2:14" x14ac:dyDescent="0.3">
      <c r="C27" s="131" t="s">
        <v>162</v>
      </c>
      <c r="D27" s="150">
        <f>COUNTIFS(Maestro!F11:F70,"Presencial",Maestro!BD11:BD70,"finalizado")</f>
        <v>0</v>
      </c>
      <c r="E27" s="151">
        <f>COUNTIFS(Maestro!F11:F70,"Presencial",Maestro!BD11:BD70,"en proceso")</f>
        <v>0</v>
      </c>
      <c r="F27" s="152">
        <f>COUNTIFS(Maestro!F11:F70,"Presencial",Maestro!BD11:BD70,"sin iniciar")</f>
        <v>0</v>
      </c>
      <c r="G27" s="150">
        <f>COUNTIFS(Maestro!F11:F70,"Virtual",Maestro!BD11:BD70,"finalizado")</f>
        <v>0</v>
      </c>
      <c r="H27" s="151">
        <f>COUNTIFS(Maestro!F11:F70,"Virtual",Maestro!BD11:BD70,"en proceso")</f>
        <v>0</v>
      </c>
      <c r="I27" s="152">
        <f>COUNTIFS(Maestro!F11:F70,"Virtual",Maestro!BD11:BD70,"sin iniciar")</f>
        <v>0</v>
      </c>
      <c r="J27" s="150">
        <f>COUNTIFS(Maestro!F11:F70,"Híbrido",Maestro!BD11:BD70,"finalizado")</f>
        <v>0</v>
      </c>
      <c r="K27" s="151">
        <f>COUNTIFS(Maestro!F11:F70,"Híbrido",Maestro!BD11:BD70,"en proceso")</f>
        <v>0</v>
      </c>
      <c r="L27" s="152">
        <f>COUNTIFS(Maestro!F11:F70,"Híbrido",Maestro!BD11:BD70,"sin iniciar")</f>
        <v>0</v>
      </c>
    </row>
    <row r="28" spans="2:14" x14ac:dyDescent="0.3">
      <c r="C28" s="120" t="s">
        <v>176</v>
      </c>
      <c r="D28" s="147">
        <f>COUNTIFS(Maestro!F11:F70,"Presencial",Maestro!BE11:BE70,"finalizado")</f>
        <v>0</v>
      </c>
      <c r="E28" s="148">
        <f>COUNTIFS(Maestro!F11:F70,"Presencial",Maestro!BE11:BE70,"en proceso")</f>
        <v>0</v>
      </c>
      <c r="F28" s="149">
        <f>COUNTIFS(Maestro!F11:F70,"Presencial",Maestro!BE11:BE70,"sin iniciar")</f>
        <v>0</v>
      </c>
      <c r="G28" s="147">
        <f>COUNTIFS(Maestro!F11:F70,"Virtual",Maestro!BE11:BE70,"finalizado")</f>
        <v>0</v>
      </c>
      <c r="H28" s="148">
        <f>COUNTIFS(Maestro!F11:F70,"Virtual",Maestro!BE11:BE70,"en proceso")</f>
        <v>0</v>
      </c>
      <c r="I28" s="149">
        <f>COUNTIFS(Maestro!F11:F70,"Virtual",Maestro!BE11:BE70,"sin iniciar")</f>
        <v>0</v>
      </c>
      <c r="J28" s="147">
        <f>COUNTIFS(Maestro!F11:F70,"Híbrido",Maestro!BE11:BE70,"finalizado")</f>
        <v>0</v>
      </c>
      <c r="K28" s="148">
        <f>COUNTIFS(Maestro!F11:F70,"Híbrido",Maestro!BE11:BE70,"en proceso")</f>
        <v>0</v>
      </c>
      <c r="L28" s="149">
        <f>COUNTIFS(Maestro!F11:F70,"Híbrido",Maestro!BE11:BE70,"sin iniciar")</f>
        <v>0</v>
      </c>
    </row>
    <row r="29" spans="2:14" x14ac:dyDescent="0.3">
      <c r="C29" s="131" t="s">
        <v>177</v>
      </c>
      <c r="D29" s="150">
        <f>COUNTIFS(Maestro!F11:F70,"Presencial",Maestro!BF11:BF70,"finalizado")</f>
        <v>0</v>
      </c>
      <c r="E29" s="151">
        <f>COUNTIFS(Maestro!F11:F70,"Presencial",Maestro!BF11:BF70,"en proceso")</f>
        <v>0</v>
      </c>
      <c r="F29" s="152">
        <f>COUNTIFS(Maestro!F11:F70,"Presencial",Maestro!BF11:BF70,"sin iniciar")</f>
        <v>0</v>
      </c>
      <c r="G29" s="150">
        <f>COUNTIFS(Maestro!F11:F70,"Virtual",Maestro!BF11:BF70,"finalizado")</f>
        <v>0</v>
      </c>
      <c r="H29" s="151">
        <f>COUNTIFS(Maestro!F11:F70,"Virtual",Maestro!BF11:BF70,"en proceso")</f>
        <v>0</v>
      </c>
      <c r="I29" s="152">
        <f>COUNTIFS(Maestro!F11:F70,"Virtual",Maestro!BF11:BF70,"sin iniciar")</f>
        <v>0</v>
      </c>
      <c r="J29" s="150">
        <f>COUNTIFS(Maestro!F11:F70,"Híbrido",Maestro!BF11:BF70,"finalizado")</f>
        <v>0</v>
      </c>
      <c r="K29" s="151">
        <f>COUNTIFS(Maestro!F11:F70,"Híbrido",Maestro!BF11:BF70,"en proceso")</f>
        <v>0</v>
      </c>
      <c r="L29" s="152">
        <f>COUNTIFS(Maestro!F11:F70,"Híbrido",Maestro!BF11:BF70,"sin iniciar")</f>
        <v>0</v>
      </c>
    </row>
    <row r="30" spans="2:14" x14ac:dyDescent="0.3">
      <c r="C30" s="120" t="s">
        <v>178</v>
      </c>
      <c r="D30" s="147">
        <f>COUNTIFS(Maestro!F11:F70,"Presencial",Maestro!BP11:BP70,"finalizado")</f>
        <v>0</v>
      </c>
      <c r="E30" s="148">
        <f>COUNTIFS(Maestro!F11:F70,"Presencial",Maestro!BP11:BP70,"en proceso")</f>
        <v>0</v>
      </c>
      <c r="F30" s="149">
        <f>COUNTIFS(Maestro!F11:F70,"Presencial",Maestro!BP11:BP70,"sin iniciar")</f>
        <v>0</v>
      </c>
      <c r="G30" s="147">
        <f>COUNTIFS(Maestro!F11:F70,"Virtual",Maestro!BP11:BP70,"finalizado")</f>
        <v>0</v>
      </c>
      <c r="H30" s="148">
        <f>COUNTIFS(Maestro!F11:F70,"Virtual",Maestro!BP11:BP70,"en proceso")</f>
        <v>0</v>
      </c>
      <c r="I30" s="149">
        <f>COUNTIFS(Maestro!F11:F70,"Virtual",Maestro!BP11:BP70,"sin iniciar")</f>
        <v>1</v>
      </c>
      <c r="J30" s="147">
        <f>COUNTIFS(Maestro!F11:F70,"Híbrido",Maestro!BP11:BP70,"finalizado")</f>
        <v>0</v>
      </c>
      <c r="K30" s="148">
        <f>COUNTIFS(Maestro!F11:F70,"Híbrido",Maestro!BP11:BP70,"en proceso")</f>
        <v>0</v>
      </c>
      <c r="L30" s="149">
        <f>COUNTIFS(Maestro!F11:F70,"Híbrido",Maestro!BP11:BP70,"sin iniciar")</f>
        <v>0</v>
      </c>
    </row>
    <row r="31" spans="2:14" x14ac:dyDescent="0.3">
      <c r="F31"/>
      <c r="G31"/>
      <c r="H31"/>
      <c r="I31"/>
      <c r="J31"/>
    </row>
    <row r="32" spans="2:14" x14ac:dyDescent="0.3">
      <c r="F32"/>
      <c r="G32"/>
      <c r="H32"/>
      <c r="I32"/>
      <c r="J32"/>
    </row>
    <row r="33" spans="2:14" ht="15.6" x14ac:dyDescent="0.3">
      <c r="B33" s="117" t="s">
        <v>179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61" t="s">
        <v>180</v>
      </c>
    </row>
    <row r="34" spans="2:14" x14ac:dyDescent="0.3">
      <c r="B34" s="119" t="s">
        <v>181</v>
      </c>
      <c r="C34" s="119" t="s">
        <v>182</v>
      </c>
      <c r="D34" s="119" t="s">
        <v>183</v>
      </c>
      <c r="E34" s="119" t="s">
        <v>184</v>
      </c>
      <c r="F34" s="119" t="s">
        <v>185</v>
      </c>
      <c r="G34" s="119" t="s">
        <v>186</v>
      </c>
      <c r="H34" s="119" t="s">
        <v>187</v>
      </c>
      <c r="I34" s="119" t="s">
        <v>188</v>
      </c>
      <c r="J34" s="119" t="s">
        <v>189</v>
      </c>
      <c r="K34" s="119" t="s">
        <v>190</v>
      </c>
      <c r="L34" s="119" t="s">
        <v>156</v>
      </c>
    </row>
    <row r="35" spans="2:14" x14ac:dyDescent="0.3">
      <c r="B35" s="162">
        <f>IF(Maestro!I11="","",Maestro!I11)</f>
        <v>111231</v>
      </c>
      <c r="C35" s="153" t="str">
        <f>IF(B35="","",_xlfn.LET(_xlpm.v,_xlfn.XLOOKUP(B35,Maestro!$I$11:$I$70,Maestro!$E$11:$E$70,"—"),IF(_xlpm.v="","—",_xlpm.v)))</f>
        <v>—</v>
      </c>
      <c r="D35" s="164" t="str">
        <f>IF(B35="","",SUBSTITUTE(_xlfn.XLOOKUP(B35,Maestro!$I$11:$I$70,Maestro!$C$11:$C$70,"—"),"Facultad de ",""))</f>
        <v/>
      </c>
      <c r="E35" s="154" t="str">
        <f>IF(B35="","",_xlfn.LET(_xlpm.v,_xlfn.XLOOKUP(B35,Maestro!$I$11:$I$70,Maestro!$F$11:$F$70,"—"),IF(_xlpm.v="","—",_xlpm.v)))</f>
        <v>—</v>
      </c>
      <c r="F35" s="154" t="str">
        <f>IF(B35="","",_xlfn.LET(_xlpm.v,_xlfn.XLOOKUP(B35,Maestro!$I$11:$I$70,Maestro!$R$11:$R$70,"—"),IF(_xlpm.v="","—",IF(LEN(_xlpm.v)&gt;1,UPPER(LEFT(_xlpm.v,1))&amp;MID(_xlpm.v,2,LEN(_xlpm.v)),UPPER(_xlpm.v)))))</f>
        <v>—</v>
      </c>
      <c r="G35" s="154" t="str">
        <f>IF(B35="","",_xlfn.LET(_xlpm.v,_xlfn.XLOOKUP(B35,Maestro!$I$11:$I$70,Maestro!$U$11:$U$70,"—"),IF(_xlpm.v="","—",IF(LEN(_xlpm.v)&gt;1,UPPER(LEFT(_xlpm.v,1))&amp;MID(_xlpm.v,2,LEN(_xlpm.v)),UPPER(_xlpm.v)))))</f>
        <v>—</v>
      </c>
      <c r="H35" s="154" t="str">
        <f>IF(B35="","",_xlfn.LET(_xlpm.v,_xlfn.XLOOKUP(B35,Maestro!$I$11:$I$70,Maestro!$AQ$11:$AQ$70,"—"),IF(ISNUMBER(_xlpm.v),TEXT(_xlpm.v,"0%"),IF(_xlpm.v="","—",IF(LEN(_xlpm.v)&gt;1,UPPER(LEFT(_xlpm.v,1))&amp;MID(_xlpm.v,2,LEN(_xlpm.v)),UPPER(_xlpm.v))))))</f>
        <v>—</v>
      </c>
      <c r="I35" s="154" t="str">
        <f>IF(B35="","",_xlfn.LET(_xlpm.v,_xlfn.XLOOKUP(B35,Maestro!$I$11:$I$70,Maestro!$AR$11:$AR$70,"—"),IF(_xlpm.v="","—",IF(LEN(_xlpm.v)&gt;1,UPPER(LEFT(_xlpm.v,1))&amp;MID(_xlpm.v,2,LEN(_xlpm.v)),UPPER(_xlpm.v)))))</f>
        <v>—</v>
      </c>
      <c r="J35" s="154" t="str">
        <f>IF(B35="","",_xlfn.LET(_xlpm.v,_xlfn.XLOOKUP(B35,Maestro!$I$11:$I$70,Maestro!$BD$11:$BD$70,"—"),IF(_xlpm.v="","—",IF(LEN(_xlpm.v)&gt;1,UPPER(LEFT(_xlpm.v,1))&amp;MID(_xlpm.v,2,LEN(_xlpm.v)),UPPER(_xlpm.v)))))</f>
        <v>—</v>
      </c>
      <c r="K35" s="155" t="str">
        <f>IF(B35="","",_xlfn.LET(_xlpm.v,_xlfn.XLOOKUP(B35,Maestro!$I$11:$I$70,Maestro!$BP$11:$BP$70,"—"),IF(_xlpm.v="","—",IF(LEN(_xlpm.v)&gt;1,UPPER(LEFT(_xlpm.v,1))&amp;MID(_xlpm.v,2,LEN(_xlpm.v)),UPPER(_xlpm.v)))))</f>
        <v>—</v>
      </c>
      <c r="L35" s="155" t="str">
        <f t="shared" ref="L35:L94" si="6">IF(B35="","",IF(COUNTIF(F35:K35,"Finalizado")=6,"✔ Completo",IF(COUNTIF(F35:K35,"Finalizado")+COUNTIF(F35:K35,"En proceso")=0,"✖ Pendiente","⏳ "&amp;COUNTIF(F35:K35,"Finalizado")&amp;"/6")))</f>
        <v>✖ Pendiente</v>
      </c>
    </row>
    <row r="36" spans="2:14" x14ac:dyDescent="0.3">
      <c r="B36" s="163">
        <f>IF(Maestro!I12="","",Maestro!I12)</f>
        <v>101647</v>
      </c>
      <c r="C36" s="131" t="str">
        <f>IF(B36="","",_xlfn.LET(_xlpm.v,_xlfn.XLOOKUP(B36,Maestro!$I$11:$I$70,Maestro!$E$11:$E$70,"—"),IF(_xlpm.v="","—",_xlpm.v)))</f>
        <v>—</v>
      </c>
      <c r="D36" s="165" t="str">
        <f>IF(B36="","",SUBSTITUTE(_xlfn.XLOOKUP(B36,Maestro!$I$11:$I$70,Maestro!$C$11:$C$70,"—"),"Facultad de ",""))</f>
        <v/>
      </c>
      <c r="E36" s="134" t="str">
        <f>IF(B36="","",_xlfn.LET(_xlpm.v,_xlfn.XLOOKUP(B36,Maestro!$I$11:$I$70,Maestro!$F$11:$F$70,"—"),IF(_xlpm.v="","—",_xlpm.v)))</f>
        <v>—</v>
      </c>
      <c r="F36" s="134" t="str">
        <f>IF(B36="","",_xlfn.LET(_xlpm.v,_xlfn.XLOOKUP(B36,Maestro!$I$11:$I$70,Maestro!$R$11:$R$70,"—"),IF(_xlpm.v="","—",IF(LEN(_xlpm.v)&gt;1,UPPER(LEFT(_xlpm.v,1))&amp;MID(_xlpm.v,2,LEN(_xlpm.v)),UPPER(_xlpm.v)))))</f>
        <v>—</v>
      </c>
      <c r="G36" s="134" t="str">
        <f>IF(B36="","",_xlfn.LET(_xlpm.v,_xlfn.XLOOKUP(B36,Maestro!$I$11:$I$70,Maestro!$U$11:$U$70,"—"),IF(_xlpm.v="","—",IF(LEN(_xlpm.v)&gt;1,UPPER(LEFT(_xlpm.v,1))&amp;MID(_xlpm.v,2,LEN(_xlpm.v)),UPPER(_xlpm.v)))))</f>
        <v>—</v>
      </c>
      <c r="H36" s="134" t="str">
        <f>IF(B36="","",_xlfn.LET(_xlpm.v,_xlfn.XLOOKUP(B36,Maestro!$I$11:$I$70,Maestro!$AQ$11:$AQ$70,"—"),IF(ISNUMBER(_xlpm.v),TEXT(_xlpm.v,"0%"),IF(_xlpm.v="","—",IF(LEN(_xlpm.v)&gt;1,UPPER(LEFT(_xlpm.v,1))&amp;MID(_xlpm.v,2,LEN(_xlpm.v)),UPPER(_xlpm.v))))))</f>
        <v>—</v>
      </c>
      <c r="I36" s="134" t="str">
        <f>IF(B36="","",_xlfn.LET(_xlpm.v,_xlfn.XLOOKUP(B36,Maestro!$I$11:$I$70,Maestro!$AR$11:$AR$70,"—"),IF(_xlpm.v="","—",IF(LEN(_xlpm.v)&gt;1,UPPER(LEFT(_xlpm.v,1))&amp;MID(_xlpm.v,2,LEN(_xlpm.v)),UPPER(_xlpm.v)))))</f>
        <v>—</v>
      </c>
      <c r="J36" s="134" t="str">
        <f>IF(B36="","",_xlfn.LET(_xlpm.v,_xlfn.XLOOKUP(B36,Maestro!$I$11:$I$70,Maestro!$BD$11:$BD$70,"—"),IF(_xlpm.v="","—",IF(LEN(_xlpm.v)&gt;1,UPPER(LEFT(_xlpm.v,1))&amp;MID(_xlpm.v,2,LEN(_xlpm.v)),UPPER(_xlpm.v)))))</f>
        <v>—</v>
      </c>
      <c r="K36" s="135" t="str">
        <f>IF(B36="","",_xlfn.LET(_xlpm.v,_xlfn.XLOOKUP(B36,Maestro!$I$11:$I$70,Maestro!$BP$11:$BP$70,"—"),IF(_xlpm.v="","—",IF(LEN(_xlpm.v)&gt;1,UPPER(LEFT(_xlpm.v,1))&amp;MID(_xlpm.v,2,LEN(_xlpm.v)),UPPER(_xlpm.v)))))</f>
        <v>—</v>
      </c>
      <c r="L36" s="135" t="str">
        <f t="shared" si="6"/>
        <v>✖ Pendiente</v>
      </c>
    </row>
    <row r="37" spans="2:14" x14ac:dyDescent="0.3">
      <c r="B37" s="162">
        <f>IF(Maestro!I13="","",Maestro!I13)</f>
        <v>102464</v>
      </c>
      <c r="C37" s="153" t="str">
        <f>IF(B37="","",_xlfn.LET(_xlpm.v,_xlfn.XLOOKUP(B37,Maestro!$I$11:$I$70,Maestro!$E$11:$E$70,"—"),IF(_xlpm.v="","—",_xlpm.v)))</f>
        <v>—</v>
      </c>
      <c r="D37" s="164" t="str">
        <f>IF(B37="","",SUBSTITUTE(_xlfn.XLOOKUP(B37,Maestro!$I$11:$I$70,Maestro!$C$11:$C$70,"—"),"Facultad de ",""))</f>
        <v/>
      </c>
      <c r="E37" s="154" t="str">
        <f>IF(B37="","",_xlfn.LET(_xlpm.v,_xlfn.XLOOKUP(B37,Maestro!$I$11:$I$70,Maestro!$F$11:$F$70,"—"),IF(_xlpm.v="","—",_xlpm.v)))</f>
        <v>—</v>
      </c>
      <c r="F37" s="154" t="str">
        <f>IF(B37="","",_xlfn.LET(_xlpm.v,_xlfn.XLOOKUP(B37,Maestro!$I$11:$I$70,Maestro!$R$11:$R$70,"—"),IF(_xlpm.v="","—",IF(LEN(_xlpm.v)&gt;1,UPPER(LEFT(_xlpm.v,1))&amp;MID(_xlpm.v,2,LEN(_xlpm.v)),UPPER(_xlpm.v)))))</f>
        <v>—</v>
      </c>
      <c r="G37" s="154" t="str">
        <f>IF(B37="","",_xlfn.LET(_xlpm.v,_xlfn.XLOOKUP(B37,Maestro!$I$11:$I$70,Maestro!$U$11:$U$70,"—"),IF(_xlpm.v="","—",IF(LEN(_xlpm.v)&gt;1,UPPER(LEFT(_xlpm.v,1))&amp;MID(_xlpm.v,2,LEN(_xlpm.v)),UPPER(_xlpm.v)))))</f>
        <v>—</v>
      </c>
      <c r="H37" s="154" t="str">
        <f>IF(B37="","",_xlfn.LET(_xlpm.v,_xlfn.XLOOKUP(B37,Maestro!$I$11:$I$70,Maestro!$AQ$11:$AQ$70,"—"),IF(ISNUMBER(_xlpm.v),TEXT(_xlpm.v,"0%"),IF(_xlpm.v="","—",IF(LEN(_xlpm.v)&gt;1,UPPER(LEFT(_xlpm.v,1))&amp;MID(_xlpm.v,2,LEN(_xlpm.v)),UPPER(_xlpm.v))))))</f>
        <v>—</v>
      </c>
      <c r="I37" s="154" t="str">
        <f>IF(B37="","",_xlfn.LET(_xlpm.v,_xlfn.XLOOKUP(B37,Maestro!$I$11:$I$70,Maestro!$AR$11:$AR$70,"—"),IF(_xlpm.v="","—",IF(LEN(_xlpm.v)&gt;1,UPPER(LEFT(_xlpm.v,1))&amp;MID(_xlpm.v,2,LEN(_xlpm.v)),UPPER(_xlpm.v)))))</f>
        <v>—</v>
      </c>
      <c r="J37" s="154" t="str">
        <f>IF(B37="","",_xlfn.LET(_xlpm.v,_xlfn.XLOOKUP(B37,Maestro!$I$11:$I$70,Maestro!$BD$11:$BD$70,"—"),IF(_xlpm.v="","—",IF(LEN(_xlpm.v)&gt;1,UPPER(LEFT(_xlpm.v,1))&amp;MID(_xlpm.v,2,LEN(_xlpm.v)),UPPER(_xlpm.v)))))</f>
        <v>—</v>
      </c>
      <c r="K37" s="155" t="str">
        <f>IF(B37="","",_xlfn.LET(_xlpm.v,_xlfn.XLOOKUP(B37,Maestro!$I$11:$I$70,Maestro!$BP$11:$BP$70,"—"),IF(_xlpm.v="","—",IF(LEN(_xlpm.v)&gt;1,UPPER(LEFT(_xlpm.v,1))&amp;MID(_xlpm.v,2,LEN(_xlpm.v)),UPPER(_xlpm.v)))))</f>
        <v>—</v>
      </c>
      <c r="L37" s="155" t="str">
        <f t="shared" si="6"/>
        <v>✖ Pendiente</v>
      </c>
    </row>
    <row r="38" spans="2:14" x14ac:dyDescent="0.3">
      <c r="B38" s="163">
        <f>IF(Maestro!I14="","",Maestro!I14)</f>
        <v>107733</v>
      </c>
      <c r="C38" s="131" t="str">
        <f>IF(B38="","",_xlfn.LET(_xlpm.v,_xlfn.XLOOKUP(B38,Maestro!$I$11:$I$70,Maestro!$E$11:$E$70,"—"),IF(_xlpm.v="","—",_xlpm.v)))</f>
        <v>—</v>
      </c>
      <c r="D38" s="165" t="str">
        <f>IF(B38="","",SUBSTITUTE(_xlfn.XLOOKUP(B38,Maestro!$I$11:$I$70,Maestro!$C$11:$C$70,"—"),"Facultad de ",""))</f>
        <v/>
      </c>
      <c r="E38" s="134" t="str">
        <f>IF(B38="","",_xlfn.LET(_xlpm.v,_xlfn.XLOOKUP(B38,Maestro!$I$11:$I$70,Maestro!$F$11:$F$70,"—"),IF(_xlpm.v="","—",_xlpm.v)))</f>
        <v>—</v>
      </c>
      <c r="F38" s="134" t="str">
        <f>IF(B38="","",_xlfn.LET(_xlpm.v,_xlfn.XLOOKUP(B38,Maestro!$I$11:$I$70,Maestro!$R$11:$R$70,"—"),IF(_xlpm.v="","—",IF(LEN(_xlpm.v)&gt;1,UPPER(LEFT(_xlpm.v,1))&amp;MID(_xlpm.v,2,LEN(_xlpm.v)),UPPER(_xlpm.v)))))</f>
        <v>—</v>
      </c>
      <c r="G38" s="134" t="str">
        <f>IF(B38="","",_xlfn.LET(_xlpm.v,_xlfn.XLOOKUP(B38,Maestro!$I$11:$I$70,Maestro!$U$11:$U$70,"—"),IF(_xlpm.v="","—",IF(LEN(_xlpm.v)&gt;1,UPPER(LEFT(_xlpm.v,1))&amp;MID(_xlpm.v,2,LEN(_xlpm.v)),UPPER(_xlpm.v)))))</f>
        <v>—</v>
      </c>
      <c r="H38" s="134" t="str">
        <f>IF(B38="","",_xlfn.LET(_xlpm.v,_xlfn.XLOOKUP(B38,Maestro!$I$11:$I$70,Maestro!$AQ$11:$AQ$70,"—"),IF(ISNUMBER(_xlpm.v),TEXT(_xlpm.v,"0%"),IF(_xlpm.v="","—",IF(LEN(_xlpm.v)&gt;1,UPPER(LEFT(_xlpm.v,1))&amp;MID(_xlpm.v,2,LEN(_xlpm.v)),UPPER(_xlpm.v))))))</f>
        <v>—</v>
      </c>
      <c r="I38" s="134" t="str">
        <f>IF(B38="","",_xlfn.LET(_xlpm.v,_xlfn.XLOOKUP(B38,Maestro!$I$11:$I$70,Maestro!$AR$11:$AR$70,"—"),IF(_xlpm.v="","—",IF(LEN(_xlpm.v)&gt;1,UPPER(LEFT(_xlpm.v,1))&amp;MID(_xlpm.v,2,LEN(_xlpm.v)),UPPER(_xlpm.v)))))</f>
        <v>—</v>
      </c>
      <c r="J38" s="134" t="str">
        <f>IF(B38="","",_xlfn.LET(_xlpm.v,_xlfn.XLOOKUP(B38,Maestro!$I$11:$I$70,Maestro!$BD$11:$BD$70,"—"),IF(_xlpm.v="","—",IF(LEN(_xlpm.v)&gt;1,UPPER(LEFT(_xlpm.v,1))&amp;MID(_xlpm.v,2,LEN(_xlpm.v)),UPPER(_xlpm.v)))))</f>
        <v>—</v>
      </c>
      <c r="K38" s="135" t="str">
        <f>IF(B38="","",_xlfn.LET(_xlpm.v,_xlfn.XLOOKUP(B38,Maestro!$I$11:$I$70,Maestro!$BP$11:$BP$70,"—"),IF(_xlpm.v="","—",IF(LEN(_xlpm.v)&gt;1,UPPER(LEFT(_xlpm.v,1))&amp;MID(_xlpm.v,2,LEN(_xlpm.v)),UPPER(_xlpm.v)))))</f>
        <v>—</v>
      </c>
      <c r="L38" s="135" t="str">
        <f t="shared" si="6"/>
        <v>✖ Pendiente</v>
      </c>
    </row>
    <row r="39" spans="2:14" x14ac:dyDescent="0.3">
      <c r="B39" s="162">
        <f>IF(Maestro!I15="","",Maestro!I15)</f>
        <v>101525</v>
      </c>
      <c r="C39" s="153" t="str">
        <f>IF(B39="","",_xlfn.LET(_xlpm.v,_xlfn.XLOOKUP(B39,Maestro!$I$11:$I$70,Maestro!$E$11:$E$70,"—"),IF(_xlpm.v="","—",_xlpm.v)))</f>
        <v>—</v>
      </c>
      <c r="D39" s="164" t="str">
        <f>IF(B39="","",SUBSTITUTE(_xlfn.XLOOKUP(B39,Maestro!$I$11:$I$70,Maestro!$C$11:$C$70,"—"),"Facultad de ",""))</f>
        <v/>
      </c>
      <c r="E39" s="154" t="str">
        <f>IF(B39="","",_xlfn.LET(_xlpm.v,_xlfn.XLOOKUP(B39,Maestro!$I$11:$I$70,Maestro!$F$11:$F$70,"—"),IF(_xlpm.v="","—",_xlpm.v)))</f>
        <v>—</v>
      </c>
      <c r="F39" s="154" t="str">
        <f>IF(B39="","",_xlfn.LET(_xlpm.v,_xlfn.XLOOKUP(B39,Maestro!$I$11:$I$70,Maestro!$R$11:$R$70,"—"),IF(_xlpm.v="","—",IF(LEN(_xlpm.v)&gt;1,UPPER(LEFT(_xlpm.v,1))&amp;MID(_xlpm.v,2,LEN(_xlpm.v)),UPPER(_xlpm.v)))))</f>
        <v>—</v>
      </c>
      <c r="G39" s="154" t="str">
        <f>IF(B39="","",_xlfn.LET(_xlpm.v,_xlfn.XLOOKUP(B39,Maestro!$I$11:$I$70,Maestro!$U$11:$U$70,"—"),IF(_xlpm.v="","—",IF(LEN(_xlpm.v)&gt;1,UPPER(LEFT(_xlpm.v,1))&amp;MID(_xlpm.v,2,LEN(_xlpm.v)),UPPER(_xlpm.v)))))</f>
        <v>—</v>
      </c>
      <c r="H39" s="154" t="str">
        <f>IF(B39="","",_xlfn.LET(_xlpm.v,_xlfn.XLOOKUP(B39,Maestro!$I$11:$I$70,Maestro!$AQ$11:$AQ$70,"—"),IF(ISNUMBER(_xlpm.v),TEXT(_xlpm.v,"0%"),IF(_xlpm.v="","—",IF(LEN(_xlpm.v)&gt;1,UPPER(LEFT(_xlpm.v,1))&amp;MID(_xlpm.v,2,LEN(_xlpm.v)),UPPER(_xlpm.v))))))</f>
        <v>—</v>
      </c>
      <c r="I39" s="154" t="str">
        <f>IF(B39="","",_xlfn.LET(_xlpm.v,_xlfn.XLOOKUP(B39,Maestro!$I$11:$I$70,Maestro!$AR$11:$AR$70,"—"),IF(_xlpm.v="","—",IF(LEN(_xlpm.v)&gt;1,UPPER(LEFT(_xlpm.v,1))&amp;MID(_xlpm.v,2,LEN(_xlpm.v)),UPPER(_xlpm.v)))))</f>
        <v>—</v>
      </c>
      <c r="J39" s="154" t="str">
        <f>IF(B39="","",_xlfn.LET(_xlpm.v,_xlfn.XLOOKUP(B39,Maestro!$I$11:$I$70,Maestro!$BD$11:$BD$70,"—"),IF(_xlpm.v="","—",IF(LEN(_xlpm.v)&gt;1,UPPER(LEFT(_xlpm.v,1))&amp;MID(_xlpm.v,2,LEN(_xlpm.v)),UPPER(_xlpm.v)))))</f>
        <v>—</v>
      </c>
      <c r="K39" s="155" t="str">
        <f>IF(B39="","",_xlfn.LET(_xlpm.v,_xlfn.XLOOKUP(B39,Maestro!$I$11:$I$70,Maestro!$BP$11:$BP$70,"—"),IF(_xlpm.v="","—",IF(LEN(_xlpm.v)&gt;1,UPPER(LEFT(_xlpm.v,1))&amp;MID(_xlpm.v,2,LEN(_xlpm.v)),UPPER(_xlpm.v)))))</f>
        <v>—</v>
      </c>
      <c r="L39" s="155" t="str">
        <f t="shared" si="6"/>
        <v>✖ Pendiente</v>
      </c>
    </row>
    <row r="40" spans="2:14" x14ac:dyDescent="0.3">
      <c r="B40" s="163">
        <f>IF(Maestro!I16="","",Maestro!I16)</f>
        <v>111116</v>
      </c>
      <c r="C40" s="131" t="str">
        <f>IF(B40="","",_xlfn.LET(_xlpm.v,_xlfn.XLOOKUP(B40,Maestro!$I$11:$I$70,Maestro!$E$11:$E$70,"—"),IF(_xlpm.v="","—",_xlpm.v)))</f>
        <v>—</v>
      </c>
      <c r="D40" s="165" t="str">
        <f>IF(B40="","",SUBSTITUTE(_xlfn.XLOOKUP(B40,Maestro!$I$11:$I$70,Maestro!$C$11:$C$70,"—"),"Facultad de ",""))</f>
        <v/>
      </c>
      <c r="E40" s="134" t="str">
        <f>IF(B40="","",_xlfn.LET(_xlpm.v,_xlfn.XLOOKUP(B40,Maestro!$I$11:$I$70,Maestro!$F$11:$F$70,"—"),IF(_xlpm.v="","—",_xlpm.v)))</f>
        <v>—</v>
      </c>
      <c r="F40" s="134" t="str">
        <f>IF(B40="","",_xlfn.LET(_xlpm.v,_xlfn.XLOOKUP(B40,Maestro!$I$11:$I$70,Maestro!$R$11:$R$70,"—"),IF(_xlpm.v="","—",IF(LEN(_xlpm.v)&gt;1,UPPER(LEFT(_xlpm.v,1))&amp;MID(_xlpm.v,2,LEN(_xlpm.v)),UPPER(_xlpm.v)))))</f>
        <v>—</v>
      </c>
      <c r="G40" s="134" t="str">
        <f>IF(B40="","",_xlfn.LET(_xlpm.v,_xlfn.XLOOKUP(B40,Maestro!$I$11:$I$70,Maestro!$U$11:$U$70,"—"),IF(_xlpm.v="","—",IF(LEN(_xlpm.v)&gt;1,UPPER(LEFT(_xlpm.v,1))&amp;MID(_xlpm.v,2,LEN(_xlpm.v)),UPPER(_xlpm.v)))))</f>
        <v>—</v>
      </c>
      <c r="H40" s="134" t="str">
        <f>IF(B40="","",_xlfn.LET(_xlpm.v,_xlfn.XLOOKUP(B40,Maestro!$I$11:$I$70,Maestro!$AQ$11:$AQ$70,"—"),IF(ISNUMBER(_xlpm.v),TEXT(_xlpm.v,"0%"),IF(_xlpm.v="","—",IF(LEN(_xlpm.v)&gt;1,UPPER(LEFT(_xlpm.v,1))&amp;MID(_xlpm.v,2,LEN(_xlpm.v)),UPPER(_xlpm.v))))))</f>
        <v>—</v>
      </c>
      <c r="I40" s="134" t="str">
        <f>IF(B40="","",_xlfn.LET(_xlpm.v,_xlfn.XLOOKUP(B40,Maestro!$I$11:$I$70,Maestro!$AR$11:$AR$70,"—"),IF(_xlpm.v="","—",IF(LEN(_xlpm.v)&gt;1,UPPER(LEFT(_xlpm.v,1))&amp;MID(_xlpm.v,2,LEN(_xlpm.v)),UPPER(_xlpm.v)))))</f>
        <v>—</v>
      </c>
      <c r="J40" s="134" t="str">
        <f>IF(B40="","",_xlfn.LET(_xlpm.v,_xlfn.XLOOKUP(B40,Maestro!$I$11:$I$70,Maestro!$BD$11:$BD$70,"—"),IF(_xlpm.v="","—",IF(LEN(_xlpm.v)&gt;1,UPPER(LEFT(_xlpm.v,1))&amp;MID(_xlpm.v,2,LEN(_xlpm.v)),UPPER(_xlpm.v)))))</f>
        <v>—</v>
      </c>
      <c r="K40" s="135" t="str">
        <f>IF(B40="","",_xlfn.LET(_xlpm.v,_xlfn.XLOOKUP(B40,Maestro!$I$11:$I$70,Maestro!$BP$11:$BP$70,"—"),IF(_xlpm.v="","—",IF(LEN(_xlpm.v)&gt;1,UPPER(LEFT(_xlpm.v,1))&amp;MID(_xlpm.v,2,LEN(_xlpm.v)),UPPER(_xlpm.v)))))</f>
        <v>—</v>
      </c>
      <c r="L40" s="135" t="str">
        <f t="shared" si="6"/>
        <v>✖ Pendiente</v>
      </c>
    </row>
    <row r="41" spans="2:14" x14ac:dyDescent="0.3">
      <c r="B41" s="162">
        <f>IF(Maestro!I17="","",Maestro!I17)</f>
        <v>101388</v>
      </c>
      <c r="C41" s="153" t="str">
        <f>IF(B41="","",_xlfn.LET(_xlpm.v,_xlfn.XLOOKUP(B41,Maestro!$I$11:$I$70,Maestro!$E$11:$E$70,"—"),IF(_xlpm.v="","—",_xlpm.v)))</f>
        <v>—</v>
      </c>
      <c r="D41" s="164" t="str">
        <f>IF(B41="","",SUBSTITUTE(_xlfn.XLOOKUP(B41,Maestro!$I$11:$I$70,Maestro!$C$11:$C$70,"—"),"Facultad de ",""))</f>
        <v/>
      </c>
      <c r="E41" s="154" t="str">
        <f>IF(B41="","",_xlfn.LET(_xlpm.v,_xlfn.XLOOKUP(B41,Maestro!$I$11:$I$70,Maestro!$F$11:$F$70,"—"),IF(_xlpm.v="","—",_xlpm.v)))</f>
        <v>—</v>
      </c>
      <c r="F41" s="154" t="str">
        <f>IF(B41="","",_xlfn.LET(_xlpm.v,_xlfn.XLOOKUP(B41,Maestro!$I$11:$I$70,Maestro!$R$11:$R$70,"—"),IF(_xlpm.v="","—",IF(LEN(_xlpm.v)&gt;1,UPPER(LEFT(_xlpm.v,1))&amp;MID(_xlpm.v,2,LEN(_xlpm.v)),UPPER(_xlpm.v)))))</f>
        <v>—</v>
      </c>
      <c r="G41" s="154" t="str">
        <f>IF(B41="","",_xlfn.LET(_xlpm.v,_xlfn.XLOOKUP(B41,Maestro!$I$11:$I$70,Maestro!$U$11:$U$70,"—"),IF(_xlpm.v="","—",IF(LEN(_xlpm.v)&gt;1,UPPER(LEFT(_xlpm.v,1))&amp;MID(_xlpm.v,2,LEN(_xlpm.v)),UPPER(_xlpm.v)))))</f>
        <v>—</v>
      </c>
      <c r="H41" s="154" t="str">
        <f>IF(B41="","",_xlfn.LET(_xlpm.v,_xlfn.XLOOKUP(B41,Maestro!$I$11:$I$70,Maestro!$AQ$11:$AQ$70,"—"),IF(ISNUMBER(_xlpm.v),TEXT(_xlpm.v,"0%"),IF(_xlpm.v="","—",IF(LEN(_xlpm.v)&gt;1,UPPER(LEFT(_xlpm.v,1))&amp;MID(_xlpm.v,2,LEN(_xlpm.v)),UPPER(_xlpm.v))))))</f>
        <v>—</v>
      </c>
      <c r="I41" s="154" t="str">
        <f>IF(B41="","",_xlfn.LET(_xlpm.v,_xlfn.XLOOKUP(B41,Maestro!$I$11:$I$70,Maestro!$AR$11:$AR$70,"—"),IF(_xlpm.v="","—",IF(LEN(_xlpm.v)&gt;1,UPPER(LEFT(_xlpm.v,1))&amp;MID(_xlpm.v,2,LEN(_xlpm.v)),UPPER(_xlpm.v)))))</f>
        <v>—</v>
      </c>
      <c r="J41" s="154" t="str">
        <f>IF(B41="","",_xlfn.LET(_xlpm.v,_xlfn.XLOOKUP(B41,Maestro!$I$11:$I$70,Maestro!$BD$11:$BD$70,"—"),IF(_xlpm.v="","—",IF(LEN(_xlpm.v)&gt;1,UPPER(LEFT(_xlpm.v,1))&amp;MID(_xlpm.v,2,LEN(_xlpm.v)),UPPER(_xlpm.v)))))</f>
        <v>—</v>
      </c>
      <c r="K41" s="155" t="str">
        <f>IF(B41="","",_xlfn.LET(_xlpm.v,_xlfn.XLOOKUP(B41,Maestro!$I$11:$I$70,Maestro!$BP$11:$BP$70,"—"),IF(_xlpm.v="","—",IF(LEN(_xlpm.v)&gt;1,UPPER(LEFT(_xlpm.v,1))&amp;MID(_xlpm.v,2,LEN(_xlpm.v)),UPPER(_xlpm.v)))))</f>
        <v>—</v>
      </c>
      <c r="L41" s="155" t="str">
        <f t="shared" si="6"/>
        <v>✖ Pendiente</v>
      </c>
    </row>
    <row r="42" spans="2:14" x14ac:dyDescent="0.3">
      <c r="B42" s="163">
        <f>IF(Maestro!I18="","",Maestro!I18)</f>
        <v>54534</v>
      </c>
      <c r="C42" s="131" t="str">
        <f>IF(B42="","",_xlfn.LET(_xlpm.v,_xlfn.XLOOKUP(B42,Maestro!$I$11:$I$70,Maestro!$E$11:$E$70,"—"),IF(_xlpm.v="","—",_xlpm.v)))</f>
        <v>—</v>
      </c>
      <c r="D42" s="165" t="str">
        <f>IF(B42="","",SUBSTITUTE(_xlfn.XLOOKUP(B42,Maestro!$I$11:$I$70,Maestro!$C$11:$C$70,"—"),"Facultad de ",""))</f>
        <v/>
      </c>
      <c r="E42" s="134" t="str">
        <f>IF(B42="","",_xlfn.LET(_xlpm.v,_xlfn.XLOOKUP(B42,Maestro!$I$11:$I$70,Maestro!$F$11:$F$70,"—"),IF(_xlpm.v="","—",_xlpm.v)))</f>
        <v>—</v>
      </c>
      <c r="F42" s="134" t="str">
        <f>IF(B42="","",_xlfn.LET(_xlpm.v,_xlfn.XLOOKUP(B42,Maestro!$I$11:$I$70,Maestro!$R$11:$R$70,"—"),IF(_xlpm.v="","—",IF(LEN(_xlpm.v)&gt;1,UPPER(LEFT(_xlpm.v,1))&amp;MID(_xlpm.v,2,LEN(_xlpm.v)),UPPER(_xlpm.v)))))</f>
        <v>—</v>
      </c>
      <c r="G42" s="134" t="str">
        <f>IF(B42="","",_xlfn.LET(_xlpm.v,_xlfn.XLOOKUP(B42,Maestro!$I$11:$I$70,Maestro!$U$11:$U$70,"—"),IF(_xlpm.v="","—",IF(LEN(_xlpm.v)&gt;1,UPPER(LEFT(_xlpm.v,1))&amp;MID(_xlpm.v,2,LEN(_xlpm.v)),UPPER(_xlpm.v)))))</f>
        <v>—</v>
      </c>
      <c r="H42" s="134" t="str">
        <f>IF(B42="","",_xlfn.LET(_xlpm.v,_xlfn.XLOOKUP(B42,Maestro!$I$11:$I$70,Maestro!$AQ$11:$AQ$70,"—"),IF(ISNUMBER(_xlpm.v),TEXT(_xlpm.v,"0%"),IF(_xlpm.v="","—",IF(LEN(_xlpm.v)&gt;1,UPPER(LEFT(_xlpm.v,1))&amp;MID(_xlpm.v,2,LEN(_xlpm.v)),UPPER(_xlpm.v))))))</f>
        <v>—</v>
      </c>
      <c r="I42" s="134" t="str">
        <f>IF(B42="","",_xlfn.LET(_xlpm.v,_xlfn.XLOOKUP(B42,Maestro!$I$11:$I$70,Maestro!$AR$11:$AR$70,"—"),IF(_xlpm.v="","—",IF(LEN(_xlpm.v)&gt;1,UPPER(LEFT(_xlpm.v,1))&amp;MID(_xlpm.v,2,LEN(_xlpm.v)),UPPER(_xlpm.v)))))</f>
        <v>—</v>
      </c>
      <c r="J42" s="134" t="str">
        <f>IF(B42="","",_xlfn.LET(_xlpm.v,_xlfn.XLOOKUP(B42,Maestro!$I$11:$I$70,Maestro!$BD$11:$BD$70,"—"),IF(_xlpm.v="","—",IF(LEN(_xlpm.v)&gt;1,UPPER(LEFT(_xlpm.v,1))&amp;MID(_xlpm.v,2,LEN(_xlpm.v)),UPPER(_xlpm.v)))))</f>
        <v>—</v>
      </c>
      <c r="K42" s="135" t="str">
        <f>IF(B42="","",_xlfn.LET(_xlpm.v,_xlfn.XLOOKUP(B42,Maestro!$I$11:$I$70,Maestro!$BP$11:$BP$70,"—"),IF(_xlpm.v="","—",IF(LEN(_xlpm.v)&gt;1,UPPER(LEFT(_xlpm.v,1))&amp;MID(_xlpm.v,2,LEN(_xlpm.v)),UPPER(_xlpm.v)))))</f>
        <v>—</v>
      </c>
      <c r="L42" s="135" t="str">
        <f t="shared" si="6"/>
        <v>✖ Pendiente</v>
      </c>
    </row>
    <row r="43" spans="2:14" x14ac:dyDescent="0.3">
      <c r="B43" s="162">
        <f>IF(Maestro!I19="","",Maestro!I19)</f>
        <v>102743</v>
      </c>
      <c r="C43" s="153" t="str">
        <f>IF(B43="","",_xlfn.LET(_xlpm.v,_xlfn.XLOOKUP(B43,Maestro!$I$11:$I$70,Maestro!$E$11:$E$70,"—"),IF(_xlpm.v="","—",_xlpm.v)))</f>
        <v>—</v>
      </c>
      <c r="D43" s="164" t="str">
        <f>IF(B43="","",SUBSTITUTE(_xlfn.XLOOKUP(B43,Maestro!$I$11:$I$70,Maestro!$C$11:$C$70,"—"),"Facultad de ",""))</f>
        <v/>
      </c>
      <c r="E43" s="154" t="str">
        <f>IF(B43="","",_xlfn.LET(_xlpm.v,_xlfn.XLOOKUP(B43,Maestro!$I$11:$I$70,Maestro!$F$11:$F$70,"—"),IF(_xlpm.v="","—",_xlpm.v)))</f>
        <v>—</v>
      </c>
      <c r="F43" s="154" t="str">
        <f>IF(B43="","",_xlfn.LET(_xlpm.v,_xlfn.XLOOKUP(B43,Maestro!$I$11:$I$70,Maestro!$R$11:$R$70,"—"),IF(_xlpm.v="","—",IF(LEN(_xlpm.v)&gt;1,UPPER(LEFT(_xlpm.v,1))&amp;MID(_xlpm.v,2,LEN(_xlpm.v)),UPPER(_xlpm.v)))))</f>
        <v>—</v>
      </c>
      <c r="G43" s="154" t="str">
        <f>IF(B43="","",_xlfn.LET(_xlpm.v,_xlfn.XLOOKUP(B43,Maestro!$I$11:$I$70,Maestro!$U$11:$U$70,"—"),IF(_xlpm.v="","—",IF(LEN(_xlpm.v)&gt;1,UPPER(LEFT(_xlpm.v,1))&amp;MID(_xlpm.v,2,LEN(_xlpm.v)),UPPER(_xlpm.v)))))</f>
        <v>—</v>
      </c>
      <c r="H43" s="154" t="str">
        <f>IF(B43="","",_xlfn.LET(_xlpm.v,_xlfn.XLOOKUP(B43,Maestro!$I$11:$I$70,Maestro!$AQ$11:$AQ$70,"—"),IF(ISNUMBER(_xlpm.v),TEXT(_xlpm.v,"0%"),IF(_xlpm.v="","—",IF(LEN(_xlpm.v)&gt;1,UPPER(LEFT(_xlpm.v,1))&amp;MID(_xlpm.v,2,LEN(_xlpm.v)),UPPER(_xlpm.v))))))</f>
        <v>—</v>
      </c>
      <c r="I43" s="154" t="str">
        <f>IF(B43="","",_xlfn.LET(_xlpm.v,_xlfn.XLOOKUP(B43,Maestro!$I$11:$I$70,Maestro!$AR$11:$AR$70,"—"),IF(_xlpm.v="","—",IF(LEN(_xlpm.v)&gt;1,UPPER(LEFT(_xlpm.v,1))&amp;MID(_xlpm.v,2,LEN(_xlpm.v)),UPPER(_xlpm.v)))))</f>
        <v>—</v>
      </c>
      <c r="J43" s="154" t="str">
        <f>IF(B43="","",_xlfn.LET(_xlpm.v,_xlfn.XLOOKUP(B43,Maestro!$I$11:$I$70,Maestro!$BD$11:$BD$70,"—"),IF(_xlpm.v="","—",IF(LEN(_xlpm.v)&gt;1,UPPER(LEFT(_xlpm.v,1))&amp;MID(_xlpm.v,2,LEN(_xlpm.v)),UPPER(_xlpm.v)))))</f>
        <v>—</v>
      </c>
      <c r="K43" s="155" t="str">
        <f>IF(B43="","",_xlfn.LET(_xlpm.v,_xlfn.XLOOKUP(B43,Maestro!$I$11:$I$70,Maestro!$BP$11:$BP$70,"—"),IF(_xlpm.v="","—",IF(LEN(_xlpm.v)&gt;1,UPPER(LEFT(_xlpm.v,1))&amp;MID(_xlpm.v,2,LEN(_xlpm.v)),UPPER(_xlpm.v)))))</f>
        <v>—</v>
      </c>
      <c r="L43" s="155" t="str">
        <f t="shared" si="6"/>
        <v>✖ Pendiente</v>
      </c>
    </row>
    <row r="44" spans="2:14" x14ac:dyDescent="0.3">
      <c r="B44" s="163">
        <f>IF(Maestro!I20="","",Maestro!I20)</f>
        <v>10561</v>
      </c>
      <c r="C44" s="131" t="str">
        <f>IF(B44="","",_xlfn.LET(_xlpm.v,_xlfn.XLOOKUP(B44,Maestro!$I$11:$I$70,Maestro!$E$11:$E$70,"—"),IF(_xlpm.v="","—",_xlpm.v)))</f>
        <v>—</v>
      </c>
      <c r="D44" s="165" t="str">
        <f>IF(B44="","",SUBSTITUTE(_xlfn.XLOOKUP(B44,Maestro!$I$11:$I$70,Maestro!$C$11:$C$70,"—"),"Facultad de ",""))</f>
        <v/>
      </c>
      <c r="E44" s="134" t="str">
        <f>IF(B44="","",_xlfn.LET(_xlpm.v,_xlfn.XLOOKUP(B44,Maestro!$I$11:$I$70,Maestro!$F$11:$F$70,"—"),IF(_xlpm.v="","—",_xlpm.v)))</f>
        <v>—</v>
      </c>
      <c r="F44" s="134" t="str">
        <f>IF(B44="","",_xlfn.LET(_xlpm.v,_xlfn.XLOOKUP(B44,Maestro!$I$11:$I$70,Maestro!$R$11:$R$70,"—"),IF(_xlpm.v="","—",IF(LEN(_xlpm.v)&gt;1,UPPER(LEFT(_xlpm.v,1))&amp;MID(_xlpm.v,2,LEN(_xlpm.v)),UPPER(_xlpm.v)))))</f>
        <v>—</v>
      </c>
      <c r="G44" s="134" t="str">
        <f>IF(B44="","",_xlfn.LET(_xlpm.v,_xlfn.XLOOKUP(B44,Maestro!$I$11:$I$70,Maestro!$U$11:$U$70,"—"),IF(_xlpm.v="","—",IF(LEN(_xlpm.v)&gt;1,UPPER(LEFT(_xlpm.v,1))&amp;MID(_xlpm.v,2,LEN(_xlpm.v)),UPPER(_xlpm.v)))))</f>
        <v>—</v>
      </c>
      <c r="H44" s="134" t="str">
        <f>IF(B44="","",_xlfn.LET(_xlpm.v,_xlfn.XLOOKUP(B44,Maestro!$I$11:$I$70,Maestro!$AQ$11:$AQ$70,"—"),IF(ISNUMBER(_xlpm.v),TEXT(_xlpm.v,"0%"),IF(_xlpm.v="","—",IF(LEN(_xlpm.v)&gt;1,UPPER(LEFT(_xlpm.v,1))&amp;MID(_xlpm.v,2,LEN(_xlpm.v)),UPPER(_xlpm.v))))))</f>
        <v>—</v>
      </c>
      <c r="I44" s="134" t="str">
        <f>IF(B44="","",_xlfn.LET(_xlpm.v,_xlfn.XLOOKUP(B44,Maestro!$I$11:$I$70,Maestro!$AR$11:$AR$70,"—"),IF(_xlpm.v="","—",IF(LEN(_xlpm.v)&gt;1,UPPER(LEFT(_xlpm.v,1))&amp;MID(_xlpm.v,2,LEN(_xlpm.v)),UPPER(_xlpm.v)))))</f>
        <v>—</v>
      </c>
      <c r="J44" s="134" t="str">
        <f>IF(B44="","",_xlfn.LET(_xlpm.v,_xlfn.XLOOKUP(B44,Maestro!$I$11:$I$70,Maestro!$BD$11:$BD$70,"—"),IF(_xlpm.v="","—",IF(LEN(_xlpm.v)&gt;1,UPPER(LEFT(_xlpm.v,1))&amp;MID(_xlpm.v,2,LEN(_xlpm.v)),UPPER(_xlpm.v)))))</f>
        <v>—</v>
      </c>
      <c r="K44" s="135" t="str">
        <f>IF(B44="","",_xlfn.LET(_xlpm.v,_xlfn.XLOOKUP(B44,Maestro!$I$11:$I$70,Maestro!$BP$11:$BP$70,"—"),IF(_xlpm.v="","—",IF(LEN(_xlpm.v)&gt;1,UPPER(LEFT(_xlpm.v,1))&amp;MID(_xlpm.v,2,LEN(_xlpm.v)),UPPER(_xlpm.v)))))</f>
        <v>—</v>
      </c>
      <c r="L44" s="135" t="str">
        <f t="shared" si="6"/>
        <v>✖ Pendiente</v>
      </c>
    </row>
    <row r="45" spans="2:14" x14ac:dyDescent="0.3">
      <c r="B45" s="162">
        <f>IF(Maestro!I21="","",Maestro!I21)</f>
        <v>102473</v>
      </c>
      <c r="C45" s="153" t="str">
        <f>IF(B45="","",_xlfn.LET(_xlpm.v,_xlfn.XLOOKUP(B45,Maestro!$I$11:$I$70,Maestro!$E$11:$E$70,"—"),IF(_xlpm.v="","—",_xlpm.v)))</f>
        <v>—</v>
      </c>
      <c r="D45" s="164" t="str">
        <f>IF(B45="","",SUBSTITUTE(_xlfn.XLOOKUP(B45,Maestro!$I$11:$I$70,Maestro!$C$11:$C$70,"—"),"Facultad de ",""))</f>
        <v/>
      </c>
      <c r="E45" s="154" t="str">
        <f>IF(B45="","",_xlfn.LET(_xlpm.v,_xlfn.XLOOKUP(B45,Maestro!$I$11:$I$70,Maestro!$F$11:$F$70,"—"),IF(_xlpm.v="","—",_xlpm.v)))</f>
        <v>—</v>
      </c>
      <c r="F45" s="154" t="str">
        <f>IF(B45="","",_xlfn.LET(_xlpm.v,_xlfn.XLOOKUP(B45,Maestro!$I$11:$I$70,Maestro!$R$11:$R$70,"—"),IF(_xlpm.v="","—",IF(LEN(_xlpm.v)&gt;1,UPPER(LEFT(_xlpm.v,1))&amp;MID(_xlpm.v,2,LEN(_xlpm.v)),UPPER(_xlpm.v)))))</f>
        <v>—</v>
      </c>
      <c r="G45" s="154" t="str">
        <f>IF(B45="","",_xlfn.LET(_xlpm.v,_xlfn.XLOOKUP(B45,Maestro!$I$11:$I$70,Maestro!$U$11:$U$70,"—"),IF(_xlpm.v="","—",IF(LEN(_xlpm.v)&gt;1,UPPER(LEFT(_xlpm.v,1))&amp;MID(_xlpm.v,2,LEN(_xlpm.v)),UPPER(_xlpm.v)))))</f>
        <v>—</v>
      </c>
      <c r="H45" s="154" t="str">
        <f>IF(B45="","",_xlfn.LET(_xlpm.v,_xlfn.XLOOKUP(B45,Maestro!$I$11:$I$70,Maestro!$AQ$11:$AQ$70,"—"),IF(ISNUMBER(_xlpm.v),TEXT(_xlpm.v,"0%"),IF(_xlpm.v="","—",IF(LEN(_xlpm.v)&gt;1,UPPER(LEFT(_xlpm.v,1))&amp;MID(_xlpm.v,2,LEN(_xlpm.v)),UPPER(_xlpm.v))))))</f>
        <v>—</v>
      </c>
      <c r="I45" s="154" t="str">
        <f>IF(B45="","",_xlfn.LET(_xlpm.v,_xlfn.XLOOKUP(B45,Maestro!$I$11:$I$70,Maestro!$AR$11:$AR$70,"—"),IF(_xlpm.v="","—",IF(LEN(_xlpm.v)&gt;1,UPPER(LEFT(_xlpm.v,1))&amp;MID(_xlpm.v,2,LEN(_xlpm.v)),UPPER(_xlpm.v)))))</f>
        <v>—</v>
      </c>
      <c r="J45" s="154" t="str">
        <f>IF(B45="","",_xlfn.LET(_xlpm.v,_xlfn.XLOOKUP(B45,Maestro!$I$11:$I$70,Maestro!$BD$11:$BD$70,"—"),IF(_xlpm.v="","—",IF(LEN(_xlpm.v)&gt;1,UPPER(LEFT(_xlpm.v,1))&amp;MID(_xlpm.v,2,LEN(_xlpm.v)),UPPER(_xlpm.v)))))</f>
        <v>—</v>
      </c>
      <c r="K45" s="155" t="str">
        <f>IF(B45="","",_xlfn.LET(_xlpm.v,_xlfn.XLOOKUP(B45,Maestro!$I$11:$I$70,Maestro!$BP$11:$BP$70,"—"),IF(_xlpm.v="","—",IF(LEN(_xlpm.v)&gt;1,UPPER(LEFT(_xlpm.v,1))&amp;MID(_xlpm.v,2,LEN(_xlpm.v)),UPPER(_xlpm.v)))))</f>
        <v>—</v>
      </c>
      <c r="L45" s="155" t="str">
        <f t="shared" si="6"/>
        <v>✖ Pendiente</v>
      </c>
    </row>
    <row r="46" spans="2:14" x14ac:dyDescent="0.3">
      <c r="B46" s="163">
        <f>IF(Maestro!I22="","",Maestro!I22)</f>
        <v>101389</v>
      </c>
      <c r="C46" s="131" t="str">
        <f>IF(B46="","",_xlfn.LET(_xlpm.v,_xlfn.XLOOKUP(B46,Maestro!$I$11:$I$70,Maestro!$E$11:$E$70,"—"),IF(_xlpm.v="","—",_xlpm.v)))</f>
        <v>—</v>
      </c>
      <c r="D46" s="165" t="str">
        <f>IF(B46="","",SUBSTITUTE(_xlfn.XLOOKUP(B46,Maestro!$I$11:$I$70,Maestro!$C$11:$C$70,"—"),"Facultad de ",""))</f>
        <v/>
      </c>
      <c r="E46" s="134" t="str">
        <f>IF(B46="","",_xlfn.LET(_xlpm.v,_xlfn.XLOOKUP(B46,Maestro!$I$11:$I$70,Maestro!$F$11:$F$70,"—"),IF(_xlpm.v="","—",_xlpm.v)))</f>
        <v>—</v>
      </c>
      <c r="F46" s="134" t="str">
        <f>IF(B46="","",_xlfn.LET(_xlpm.v,_xlfn.XLOOKUP(B46,Maestro!$I$11:$I$70,Maestro!$R$11:$R$70,"—"),IF(_xlpm.v="","—",IF(LEN(_xlpm.v)&gt;1,UPPER(LEFT(_xlpm.v,1))&amp;MID(_xlpm.v,2,LEN(_xlpm.v)),UPPER(_xlpm.v)))))</f>
        <v>—</v>
      </c>
      <c r="G46" s="134" t="str">
        <f>IF(B46="","",_xlfn.LET(_xlpm.v,_xlfn.XLOOKUP(B46,Maestro!$I$11:$I$70,Maestro!$U$11:$U$70,"—"),IF(_xlpm.v="","—",IF(LEN(_xlpm.v)&gt;1,UPPER(LEFT(_xlpm.v,1))&amp;MID(_xlpm.v,2,LEN(_xlpm.v)),UPPER(_xlpm.v)))))</f>
        <v>—</v>
      </c>
      <c r="H46" s="134" t="str">
        <f>IF(B46="","",_xlfn.LET(_xlpm.v,_xlfn.XLOOKUP(B46,Maestro!$I$11:$I$70,Maestro!$AQ$11:$AQ$70,"—"),IF(ISNUMBER(_xlpm.v),TEXT(_xlpm.v,"0%"),IF(_xlpm.v="","—",IF(LEN(_xlpm.v)&gt;1,UPPER(LEFT(_xlpm.v,1))&amp;MID(_xlpm.v,2,LEN(_xlpm.v)),UPPER(_xlpm.v))))))</f>
        <v>—</v>
      </c>
      <c r="I46" s="134" t="str">
        <f>IF(B46="","",_xlfn.LET(_xlpm.v,_xlfn.XLOOKUP(B46,Maestro!$I$11:$I$70,Maestro!$AR$11:$AR$70,"—"),IF(_xlpm.v="","—",IF(LEN(_xlpm.v)&gt;1,UPPER(LEFT(_xlpm.v,1))&amp;MID(_xlpm.v,2,LEN(_xlpm.v)),UPPER(_xlpm.v)))))</f>
        <v>—</v>
      </c>
      <c r="J46" s="134" t="str">
        <f>IF(B46="","",_xlfn.LET(_xlpm.v,_xlfn.XLOOKUP(B46,Maestro!$I$11:$I$70,Maestro!$BD$11:$BD$70,"—"),IF(_xlpm.v="","—",IF(LEN(_xlpm.v)&gt;1,UPPER(LEFT(_xlpm.v,1))&amp;MID(_xlpm.v,2,LEN(_xlpm.v)),UPPER(_xlpm.v)))))</f>
        <v>—</v>
      </c>
      <c r="K46" s="135" t="str">
        <f>IF(B46="","",_xlfn.LET(_xlpm.v,_xlfn.XLOOKUP(B46,Maestro!$I$11:$I$70,Maestro!$BP$11:$BP$70,"—"),IF(_xlpm.v="","—",IF(LEN(_xlpm.v)&gt;1,UPPER(LEFT(_xlpm.v,1))&amp;MID(_xlpm.v,2,LEN(_xlpm.v)),UPPER(_xlpm.v)))))</f>
        <v>—</v>
      </c>
      <c r="L46" s="135" t="str">
        <f t="shared" si="6"/>
        <v>✖ Pendiente</v>
      </c>
    </row>
    <row r="47" spans="2:14" x14ac:dyDescent="0.3">
      <c r="B47" s="162">
        <f>IF(Maestro!I23="","",Maestro!I23)</f>
        <v>4078</v>
      </c>
      <c r="C47" s="153" t="str">
        <f>IF(B47="","",_xlfn.LET(_xlpm.v,_xlfn.XLOOKUP(B47,Maestro!$I$11:$I$70,Maestro!$E$11:$E$70,"—"),IF(_xlpm.v="","—",_xlpm.v)))</f>
        <v>—</v>
      </c>
      <c r="D47" s="164" t="str">
        <f>IF(B47="","",SUBSTITUTE(_xlfn.XLOOKUP(B47,Maestro!$I$11:$I$70,Maestro!$C$11:$C$70,"—"),"Facultad de ",""))</f>
        <v/>
      </c>
      <c r="E47" s="154" t="str">
        <f>IF(B47="","",_xlfn.LET(_xlpm.v,_xlfn.XLOOKUP(B47,Maestro!$I$11:$I$70,Maestro!$F$11:$F$70,"—"),IF(_xlpm.v="","—",_xlpm.v)))</f>
        <v>—</v>
      </c>
      <c r="F47" s="154" t="str">
        <f>IF(B47="","",_xlfn.LET(_xlpm.v,_xlfn.XLOOKUP(B47,Maestro!$I$11:$I$70,Maestro!$R$11:$R$70,"—"),IF(_xlpm.v="","—",IF(LEN(_xlpm.v)&gt;1,UPPER(LEFT(_xlpm.v,1))&amp;MID(_xlpm.v,2,LEN(_xlpm.v)),UPPER(_xlpm.v)))))</f>
        <v>—</v>
      </c>
      <c r="G47" s="154" t="str">
        <f>IF(B47="","",_xlfn.LET(_xlpm.v,_xlfn.XLOOKUP(B47,Maestro!$I$11:$I$70,Maestro!$U$11:$U$70,"—"),IF(_xlpm.v="","—",IF(LEN(_xlpm.v)&gt;1,UPPER(LEFT(_xlpm.v,1))&amp;MID(_xlpm.v,2,LEN(_xlpm.v)),UPPER(_xlpm.v)))))</f>
        <v>—</v>
      </c>
      <c r="H47" s="154" t="str">
        <f>IF(B47="","",_xlfn.LET(_xlpm.v,_xlfn.XLOOKUP(B47,Maestro!$I$11:$I$70,Maestro!$AQ$11:$AQ$70,"—"),IF(ISNUMBER(_xlpm.v),TEXT(_xlpm.v,"0%"),IF(_xlpm.v="","—",IF(LEN(_xlpm.v)&gt;1,UPPER(LEFT(_xlpm.v,1))&amp;MID(_xlpm.v,2,LEN(_xlpm.v)),UPPER(_xlpm.v))))))</f>
        <v>—</v>
      </c>
      <c r="I47" s="154" t="str">
        <f>IF(B47="","",_xlfn.LET(_xlpm.v,_xlfn.XLOOKUP(B47,Maestro!$I$11:$I$70,Maestro!$AR$11:$AR$70,"—"),IF(_xlpm.v="","—",IF(LEN(_xlpm.v)&gt;1,UPPER(LEFT(_xlpm.v,1))&amp;MID(_xlpm.v,2,LEN(_xlpm.v)),UPPER(_xlpm.v)))))</f>
        <v>—</v>
      </c>
      <c r="J47" s="154" t="str">
        <f>IF(B47="","",_xlfn.LET(_xlpm.v,_xlfn.XLOOKUP(B47,Maestro!$I$11:$I$70,Maestro!$BD$11:$BD$70,"—"),IF(_xlpm.v="","—",IF(LEN(_xlpm.v)&gt;1,UPPER(LEFT(_xlpm.v,1))&amp;MID(_xlpm.v,2,LEN(_xlpm.v)),UPPER(_xlpm.v)))))</f>
        <v>—</v>
      </c>
      <c r="K47" s="155" t="str">
        <f>IF(B47="","",_xlfn.LET(_xlpm.v,_xlfn.XLOOKUP(B47,Maestro!$I$11:$I$70,Maestro!$BP$11:$BP$70,"—"),IF(_xlpm.v="","—",IF(LEN(_xlpm.v)&gt;1,UPPER(LEFT(_xlpm.v,1))&amp;MID(_xlpm.v,2,LEN(_xlpm.v)),UPPER(_xlpm.v)))))</f>
        <v>—</v>
      </c>
      <c r="L47" s="155" t="str">
        <f t="shared" si="6"/>
        <v>✖ Pendiente</v>
      </c>
    </row>
    <row r="48" spans="2:14" x14ac:dyDescent="0.3">
      <c r="B48" s="163">
        <f>IF(Maestro!I24="","",Maestro!I24)</f>
        <v>53835</v>
      </c>
      <c r="C48" s="131" t="str">
        <f>IF(B48="","",_xlfn.LET(_xlpm.v,_xlfn.XLOOKUP(B48,Maestro!$I$11:$I$70,Maestro!$E$11:$E$70,"—"),IF(_xlpm.v="","—",_xlpm.v)))</f>
        <v>—</v>
      </c>
      <c r="D48" s="165" t="str">
        <f>IF(B48="","",SUBSTITUTE(_xlfn.XLOOKUP(B48,Maestro!$I$11:$I$70,Maestro!$C$11:$C$70,"—"),"Facultad de ",""))</f>
        <v/>
      </c>
      <c r="E48" s="134" t="str">
        <f>IF(B48="","",_xlfn.LET(_xlpm.v,_xlfn.XLOOKUP(B48,Maestro!$I$11:$I$70,Maestro!$F$11:$F$70,"—"),IF(_xlpm.v="","—",_xlpm.v)))</f>
        <v>—</v>
      </c>
      <c r="F48" s="134" t="str">
        <f>IF(B48="","",_xlfn.LET(_xlpm.v,_xlfn.XLOOKUP(B48,Maestro!$I$11:$I$70,Maestro!$R$11:$R$70,"—"),IF(_xlpm.v="","—",IF(LEN(_xlpm.v)&gt;1,UPPER(LEFT(_xlpm.v,1))&amp;MID(_xlpm.v,2,LEN(_xlpm.v)),UPPER(_xlpm.v)))))</f>
        <v>—</v>
      </c>
      <c r="G48" s="134" t="str">
        <f>IF(B48="","",_xlfn.LET(_xlpm.v,_xlfn.XLOOKUP(B48,Maestro!$I$11:$I$70,Maestro!$U$11:$U$70,"—"),IF(_xlpm.v="","—",IF(LEN(_xlpm.v)&gt;1,UPPER(LEFT(_xlpm.v,1))&amp;MID(_xlpm.v,2,LEN(_xlpm.v)),UPPER(_xlpm.v)))))</f>
        <v>—</v>
      </c>
      <c r="H48" s="134" t="str">
        <f>IF(B48="","",_xlfn.LET(_xlpm.v,_xlfn.XLOOKUP(B48,Maestro!$I$11:$I$70,Maestro!$AQ$11:$AQ$70,"—"),IF(ISNUMBER(_xlpm.v),TEXT(_xlpm.v,"0%"),IF(_xlpm.v="","—",IF(LEN(_xlpm.v)&gt;1,UPPER(LEFT(_xlpm.v,1))&amp;MID(_xlpm.v,2,LEN(_xlpm.v)),UPPER(_xlpm.v))))))</f>
        <v>—</v>
      </c>
      <c r="I48" s="134" t="str">
        <f>IF(B48="","",_xlfn.LET(_xlpm.v,_xlfn.XLOOKUP(B48,Maestro!$I$11:$I$70,Maestro!$AR$11:$AR$70,"—"),IF(_xlpm.v="","—",IF(LEN(_xlpm.v)&gt;1,UPPER(LEFT(_xlpm.v,1))&amp;MID(_xlpm.v,2,LEN(_xlpm.v)),UPPER(_xlpm.v)))))</f>
        <v>—</v>
      </c>
      <c r="J48" s="134" t="str">
        <f>IF(B48="","",_xlfn.LET(_xlpm.v,_xlfn.XLOOKUP(B48,Maestro!$I$11:$I$70,Maestro!$BD$11:$BD$70,"—"),IF(_xlpm.v="","—",IF(LEN(_xlpm.v)&gt;1,UPPER(LEFT(_xlpm.v,1))&amp;MID(_xlpm.v,2,LEN(_xlpm.v)),UPPER(_xlpm.v)))))</f>
        <v>—</v>
      </c>
      <c r="K48" s="135" t="str">
        <f>IF(B48="","",_xlfn.LET(_xlpm.v,_xlfn.XLOOKUP(B48,Maestro!$I$11:$I$70,Maestro!$BP$11:$BP$70,"—"),IF(_xlpm.v="","—",IF(LEN(_xlpm.v)&gt;1,UPPER(LEFT(_xlpm.v,1))&amp;MID(_xlpm.v,2,LEN(_xlpm.v)),UPPER(_xlpm.v)))))</f>
        <v>—</v>
      </c>
      <c r="L48" s="135" t="str">
        <f t="shared" si="6"/>
        <v>✖ Pendiente</v>
      </c>
    </row>
    <row r="49" spans="2:12" x14ac:dyDescent="0.3">
      <c r="B49" s="162">
        <f>IF(Maestro!I25="","",Maestro!I25)</f>
        <v>105309</v>
      </c>
      <c r="C49" s="153" t="str">
        <f>IF(B49="","",_xlfn.LET(_xlpm.v,_xlfn.XLOOKUP(B49,Maestro!$I$11:$I$70,Maestro!$E$11:$E$70,"—"),IF(_xlpm.v="","—",_xlpm.v)))</f>
        <v>—</v>
      </c>
      <c r="D49" s="164" t="str">
        <f>IF(B49="","",SUBSTITUTE(_xlfn.XLOOKUP(B49,Maestro!$I$11:$I$70,Maestro!$C$11:$C$70,"—"),"Facultad de ",""))</f>
        <v/>
      </c>
      <c r="E49" s="154" t="str">
        <f>IF(B49="","",_xlfn.LET(_xlpm.v,_xlfn.XLOOKUP(B49,Maestro!$I$11:$I$70,Maestro!$F$11:$F$70,"—"),IF(_xlpm.v="","—",_xlpm.v)))</f>
        <v>—</v>
      </c>
      <c r="F49" s="154" t="str">
        <f>IF(B49="","",_xlfn.LET(_xlpm.v,_xlfn.XLOOKUP(B49,Maestro!$I$11:$I$70,Maestro!$R$11:$R$70,"—"),IF(_xlpm.v="","—",IF(LEN(_xlpm.v)&gt;1,UPPER(LEFT(_xlpm.v,1))&amp;MID(_xlpm.v,2,LEN(_xlpm.v)),UPPER(_xlpm.v)))))</f>
        <v>—</v>
      </c>
      <c r="G49" s="154" t="str">
        <f>IF(B49="","",_xlfn.LET(_xlpm.v,_xlfn.XLOOKUP(B49,Maestro!$I$11:$I$70,Maestro!$U$11:$U$70,"—"),IF(_xlpm.v="","—",IF(LEN(_xlpm.v)&gt;1,UPPER(LEFT(_xlpm.v,1))&amp;MID(_xlpm.v,2,LEN(_xlpm.v)),UPPER(_xlpm.v)))))</f>
        <v>—</v>
      </c>
      <c r="H49" s="154" t="str">
        <f>IF(B49="","",_xlfn.LET(_xlpm.v,_xlfn.XLOOKUP(B49,Maestro!$I$11:$I$70,Maestro!$AQ$11:$AQ$70,"—"),IF(ISNUMBER(_xlpm.v),TEXT(_xlpm.v,"0%"),IF(_xlpm.v="","—",IF(LEN(_xlpm.v)&gt;1,UPPER(LEFT(_xlpm.v,1))&amp;MID(_xlpm.v,2,LEN(_xlpm.v)),UPPER(_xlpm.v))))))</f>
        <v>—</v>
      </c>
      <c r="I49" s="154" t="str">
        <f>IF(B49="","",_xlfn.LET(_xlpm.v,_xlfn.XLOOKUP(B49,Maestro!$I$11:$I$70,Maestro!$AR$11:$AR$70,"—"),IF(_xlpm.v="","—",IF(LEN(_xlpm.v)&gt;1,UPPER(LEFT(_xlpm.v,1))&amp;MID(_xlpm.v,2,LEN(_xlpm.v)),UPPER(_xlpm.v)))))</f>
        <v>—</v>
      </c>
      <c r="J49" s="154" t="str">
        <f>IF(B49="","",_xlfn.LET(_xlpm.v,_xlfn.XLOOKUP(B49,Maestro!$I$11:$I$70,Maestro!$BD$11:$BD$70,"—"),IF(_xlpm.v="","—",IF(LEN(_xlpm.v)&gt;1,UPPER(LEFT(_xlpm.v,1))&amp;MID(_xlpm.v,2,LEN(_xlpm.v)),UPPER(_xlpm.v)))))</f>
        <v>—</v>
      </c>
      <c r="K49" s="155" t="str">
        <f>IF(B49="","",_xlfn.LET(_xlpm.v,_xlfn.XLOOKUP(B49,Maestro!$I$11:$I$70,Maestro!$BP$11:$BP$70,"—"),IF(_xlpm.v="","—",IF(LEN(_xlpm.v)&gt;1,UPPER(LEFT(_xlpm.v,1))&amp;MID(_xlpm.v,2,LEN(_xlpm.v)),UPPER(_xlpm.v)))))</f>
        <v>—</v>
      </c>
      <c r="L49" s="155" t="str">
        <f t="shared" si="6"/>
        <v>✖ Pendiente</v>
      </c>
    </row>
    <row r="50" spans="2:12" x14ac:dyDescent="0.3">
      <c r="B50" s="163">
        <f>IF(Maestro!I26="","",Maestro!I26)</f>
        <v>7470</v>
      </c>
      <c r="C50" s="131" t="str">
        <f>IF(B50="","",_xlfn.LET(_xlpm.v,_xlfn.XLOOKUP(B50,Maestro!$I$11:$I$70,Maestro!$E$11:$E$70,"—"),IF(_xlpm.v="","—",_xlpm.v)))</f>
        <v>—</v>
      </c>
      <c r="D50" s="165" t="str">
        <f>IF(B50="","",SUBSTITUTE(_xlfn.XLOOKUP(B50,Maestro!$I$11:$I$70,Maestro!$C$11:$C$70,"—"),"Facultad de ",""))</f>
        <v/>
      </c>
      <c r="E50" s="134" t="str">
        <f>IF(B50="","",_xlfn.LET(_xlpm.v,_xlfn.XLOOKUP(B50,Maestro!$I$11:$I$70,Maestro!$F$11:$F$70,"—"),IF(_xlpm.v="","—",_xlpm.v)))</f>
        <v>—</v>
      </c>
      <c r="F50" s="134" t="str">
        <f>IF(B50="","",_xlfn.LET(_xlpm.v,_xlfn.XLOOKUP(B50,Maestro!$I$11:$I$70,Maestro!$R$11:$R$70,"—"),IF(_xlpm.v="","—",IF(LEN(_xlpm.v)&gt;1,UPPER(LEFT(_xlpm.v,1))&amp;MID(_xlpm.v,2,LEN(_xlpm.v)),UPPER(_xlpm.v)))))</f>
        <v>—</v>
      </c>
      <c r="G50" s="134" t="str">
        <f>IF(B50="","",_xlfn.LET(_xlpm.v,_xlfn.XLOOKUP(B50,Maestro!$I$11:$I$70,Maestro!$U$11:$U$70,"—"),IF(_xlpm.v="","—",IF(LEN(_xlpm.v)&gt;1,UPPER(LEFT(_xlpm.v,1))&amp;MID(_xlpm.v,2,LEN(_xlpm.v)),UPPER(_xlpm.v)))))</f>
        <v>—</v>
      </c>
      <c r="H50" s="134" t="str">
        <f>IF(B50="","",_xlfn.LET(_xlpm.v,_xlfn.XLOOKUP(B50,Maestro!$I$11:$I$70,Maestro!$AQ$11:$AQ$70,"—"),IF(ISNUMBER(_xlpm.v),TEXT(_xlpm.v,"0%"),IF(_xlpm.v="","—",IF(LEN(_xlpm.v)&gt;1,UPPER(LEFT(_xlpm.v,1))&amp;MID(_xlpm.v,2,LEN(_xlpm.v)),UPPER(_xlpm.v))))))</f>
        <v>—</v>
      </c>
      <c r="I50" s="134" t="str">
        <f>IF(B50="","",_xlfn.LET(_xlpm.v,_xlfn.XLOOKUP(B50,Maestro!$I$11:$I$70,Maestro!$AR$11:$AR$70,"—"),IF(_xlpm.v="","—",IF(LEN(_xlpm.v)&gt;1,UPPER(LEFT(_xlpm.v,1))&amp;MID(_xlpm.v,2,LEN(_xlpm.v)),UPPER(_xlpm.v)))))</f>
        <v>—</v>
      </c>
      <c r="J50" s="134" t="str">
        <f>IF(B50="","",_xlfn.LET(_xlpm.v,_xlfn.XLOOKUP(B50,Maestro!$I$11:$I$70,Maestro!$BD$11:$BD$70,"—"),IF(_xlpm.v="","—",IF(LEN(_xlpm.v)&gt;1,UPPER(LEFT(_xlpm.v,1))&amp;MID(_xlpm.v,2,LEN(_xlpm.v)),UPPER(_xlpm.v)))))</f>
        <v>—</v>
      </c>
      <c r="K50" s="135" t="str">
        <f>IF(B50="","",_xlfn.LET(_xlpm.v,_xlfn.XLOOKUP(B50,Maestro!$I$11:$I$70,Maestro!$BP$11:$BP$70,"—"),IF(_xlpm.v="","—",IF(LEN(_xlpm.v)&gt;1,UPPER(LEFT(_xlpm.v,1))&amp;MID(_xlpm.v,2,LEN(_xlpm.v)),UPPER(_xlpm.v)))))</f>
        <v>—</v>
      </c>
      <c r="L50" s="135" t="str">
        <f t="shared" si="6"/>
        <v>✖ Pendiente</v>
      </c>
    </row>
    <row r="51" spans="2:12" x14ac:dyDescent="0.3">
      <c r="B51" s="162">
        <f>IF(Maestro!I27="","",Maestro!I27)</f>
        <v>101492</v>
      </c>
      <c r="C51" s="153" t="str">
        <f>IF(B51="","",_xlfn.LET(_xlpm.v,_xlfn.XLOOKUP(B51,Maestro!$I$11:$I$70,Maestro!$E$11:$E$70,"—"),IF(_xlpm.v="","—",_xlpm.v)))</f>
        <v>—</v>
      </c>
      <c r="D51" s="164" t="str">
        <f>IF(B51="","",SUBSTITUTE(_xlfn.XLOOKUP(B51,Maestro!$I$11:$I$70,Maestro!$C$11:$C$70,"—"),"Facultad de ",""))</f>
        <v/>
      </c>
      <c r="E51" s="154" t="str">
        <f>IF(B51="","",_xlfn.LET(_xlpm.v,_xlfn.XLOOKUP(B51,Maestro!$I$11:$I$70,Maestro!$F$11:$F$70,"—"),IF(_xlpm.v="","—",_xlpm.v)))</f>
        <v>—</v>
      </c>
      <c r="F51" s="154" t="str">
        <f>IF(B51="","",_xlfn.LET(_xlpm.v,_xlfn.XLOOKUP(B51,Maestro!$I$11:$I$70,Maestro!$R$11:$R$70,"—"),IF(_xlpm.v="","—",IF(LEN(_xlpm.v)&gt;1,UPPER(LEFT(_xlpm.v,1))&amp;MID(_xlpm.v,2,LEN(_xlpm.v)),UPPER(_xlpm.v)))))</f>
        <v>—</v>
      </c>
      <c r="G51" s="154" t="str">
        <f>IF(B51="","",_xlfn.LET(_xlpm.v,_xlfn.XLOOKUP(B51,Maestro!$I$11:$I$70,Maestro!$U$11:$U$70,"—"),IF(_xlpm.v="","—",IF(LEN(_xlpm.v)&gt;1,UPPER(LEFT(_xlpm.v,1))&amp;MID(_xlpm.v,2,LEN(_xlpm.v)),UPPER(_xlpm.v)))))</f>
        <v>—</v>
      </c>
      <c r="H51" s="154" t="str">
        <f>IF(B51="","",_xlfn.LET(_xlpm.v,_xlfn.XLOOKUP(B51,Maestro!$I$11:$I$70,Maestro!$AQ$11:$AQ$70,"—"),IF(ISNUMBER(_xlpm.v),TEXT(_xlpm.v,"0%"),IF(_xlpm.v="","—",IF(LEN(_xlpm.v)&gt;1,UPPER(LEFT(_xlpm.v,1))&amp;MID(_xlpm.v,2,LEN(_xlpm.v)),UPPER(_xlpm.v))))))</f>
        <v>—</v>
      </c>
      <c r="I51" s="154" t="str">
        <f>IF(B51="","",_xlfn.LET(_xlpm.v,_xlfn.XLOOKUP(B51,Maestro!$I$11:$I$70,Maestro!$AR$11:$AR$70,"—"),IF(_xlpm.v="","—",IF(LEN(_xlpm.v)&gt;1,UPPER(LEFT(_xlpm.v,1))&amp;MID(_xlpm.v,2,LEN(_xlpm.v)),UPPER(_xlpm.v)))))</f>
        <v>—</v>
      </c>
      <c r="J51" s="154" t="str">
        <f>IF(B51="","",_xlfn.LET(_xlpm.v,_xlfn.XLOOKUP(B51,Maestro!$I$11:$I$70,Maestro!$BD$11:$BD$70,"—"),IF(_xlpm.v="","—",IF(LEN(_xlpm.v)&gt;1,UPPER(LEFT(_xlpm.v,1))&amp;MID(_xlpm.v,2,LEN(_xlpm.v)),UPPER(_xlpm.v)))))</f>
        <v>—</v>
      </c>
      <c r="K51" s="155" t="str">
        <f>IF(B51="","",_xlfn.LET(_xlpm.v,_xlfn.XLOOKUP(B51,Maestro!$I$11:$I$70,Maestro!$BP$11:$BP$70,"—"),IF(_xlpm.v="","—",IF(LEN(_xlpm.v)&gt;1,UPPER(LEFT(_xlpm.v,1))&amp;MID(_xlpm.v,2,LEN(_xlpm.v)),UPPER(_xlpm.v)))))</f>
        <v>—</v>
      </c>
      <c r="L51" s="155" t="str">
        <f t="shared" si="6"/>
        <v>✖ Pendiente</v>
      </c>
    </row>
    <row r="52" spans="2:12" x14ac:dyDescent="0.3">
      <c r="B52" s="163">
        <f>IF(Maestro!I28="","",Maestro!I28)</f>
        <v>105591</v>
      </c>
      <c r="C52" s="131" t="str">
        <f>IF(B52="","",_xlfn.LET(_xlpm.v,_xlfn.XLOOKUP(B52,Maestro!$I$11:$I$70,Maestro!$E$11:$E$70,"—"),IF(_xlpm.v="","—",_xlpm.v)))</f>
        <v>—</v>
      </c>
      <c r="D52" s="165" t="str">
        <f>IF(B52="","",SUBSTITUTE(_xlfn.XLOOKUP(B52,Maestro!$I$11:$I$70,Maestro!$C$11:$C$70,"—"),"Facultad de ",""))</f>
        <v/>
      </c>
      <c r="E52" s="134" t="str">
        <f>IF(B52="","",_xlfn.LET(_xlpm.v,_xlfn.XLOOKUP(B52,Maestro!$I$11:$I$70,Maestro!$F$11:$F$70,"—"),IF(_xlpm.v="","—",_xlpm.v)))</f>
        <v>—</v>
      </c>
      <c r="F52" s="134" t="str">
        <f>IF(B52="","",_xlfn.LET(_xlpm.v,_xlfn.XLOOKUP(B52,Maestro!$I$11:$I$70,Maestro!$R$11:$R$70,"—"),IF(_xlpm.v="","—",IF(LEN(_xlpm.v)&gt;1,UPPER(LEFT(_xlpm.v,1))&amp;MID(_xlpm.v,2,LEN(_xlpm.v)),UPPER(_xlpm.v)))))</f>
        <v>—</v>
      </c>
      <c r="G52" s="134" t="str">
        <f>IF(B52="","",_xlfn.LET(_xlpm.v,_xlfn.XLOOKUP(B52,Maestro!$I$11:$I$70,Maestro!$U$11:$U$70,"—"),IF(_xlpm.v="","—",IF(LEN(_xlpm.v)&gt;1,UPPER(LEFT(_xlpm.v,1))&amp;MID(_xlpm.v,2,LEN(_xlpm.v)),UPPER(_xlpm.v)))))</f>
        <v>—</v>
      </c>
      <c r="H52" s="134" t="str">
        <f>IF(B52="","",_xlfn.LET(_xlpm.v,_xlfn.XLOOKUP(B52,Maestro!$I$11:$I$70,Maestro!$AQ$11:$AQ$70,"—"),IF(ISNUMBER(_xlpm.v),TEXT(_xlpm.v,"0%"),IF(_xlpm.v="","—",IF(LEN(_xlpm.v)&gt;1,UPPER(LEFT(_xlpm.v,1))&amp;MID(_xlpm.v,2,LEN(_xlpm.v)),UPPER(_xlpm.v))))))</f>
        <v>—</v>
      </c>
      <c r="I52" s="134" t="str">
        <f>IF(B52="","",_xlfn.LET(_xlpm.v,_xlfn.XLOOKUP(B52,Maestro!$I$11:$I$70,Maestro!$AR$11:$AR$70,"—"),IF(_xlpm.v="","—",IF(LEN(_xlpm.v)&gt;1,UPPER(LEFT(_xlpm.v,1))&amp;MID(_xlpm.v,2,LEN(_xlpm.v)),UPPER(_xlpm.v)))))</f>
        <v>—</v>
      </c>
      <c r="J52" s="134" t="str">
        <f>IF(B52="","",_xlfn.LET(_xlpm.v,_xlfn.XLOOKUP(B52,Maestro!$I$11:$I$70,Maestro!$BD$11:$BD$70,"—"),IF(_xlpm.v="","—",IF(LEN(_xlpm.v)&gt;1,UPPER(LEFT(_xlpm.v,1))&amp;MID(_xlpm.v,2,LEN(_xlpm.v)),UPPER(_xlpm.v)))))</f>
        <v>—</v>
      </c>
      <c r="K52" s="135" t="str">
        <f>IF(B52="","",_xlfn.LET(_xlpm.v,_xlfn.XLOOKUP(B52,Maestro!$I$11:$I$70,Maestro!$BP$11:$BP$70,"—"),IF(_xlpm.v="","—",IF(LEN(_xlpm.v)&gt;1,UPPER(LEFT(_xlpm.v,1))&amp;MID(_xlpm.v,2,LEN(_xlpm.v)),UPPER(_xlpm.v)))))</f>
        <v>—</v>
      </c>
      <c r="L52" s="135" t="str">
        <f t="shared" si="6"/>
        <v>✖ Pendiente</v>
      </c>
    </row>
    <row r="53" spans="2:12" x14ac:dyDescent="0.3">
      <c r="B53" s="162">
        <f>IF(Maestro!I29="","",Maestro!I29)</f>
        <v>3638</v>
      </c>
      <c r="C53" s="153" t="str">
        <f>IF(B53="","",_xlfn.LET(_xlpm.v,_xlfn.XLOOKUP(B53,Maestro!$I$11:$I$70,Maestro!$E$11:$E$70,"—"),IF(_xlpm.v="","—",_xlpm.v)))</f>
        <v>—</v>
      </c>
      <c r="D53" s="164" t="str">
        <f>IF(B53="","",SUBSTITUTE(_xlfn.XLOOKUP(B53,Maestro!$I$11:$I$70,Maestro!$C$11:$C$70,"—"),"Facultad de ",""))</f>
        <v/>
      </c>
      <c r="E53" s="154" t="str">
        <f>IF(B53="","",_xlfn.LET(_xlpm.v,_xlfn.XLOOKUP(B53,Maestro!$I$11:$I$70,Maestro!$F$11:$F$70,"—"),IF(_xlpm.v="","—",_xlpm.v)))</f>
        <v>—</v>
      </c>
      <c r="F53" s="154" t="str">
        <f>IF(B53="","",_xlfn.LET(_xlpm.v,_xlfn.XLOOKUP(B53,Maestro!$I$11:$I$70,Maestro!$R$11:$R$70,"—"),IF(_xlpm.v="","—",IF(LEN(_xlpm.v)&gt;1,UPPER(LEFT(_xlpm.v,1))&amp;MID(_xlpm.v,2,LEN(_xlpm.v)),UPPER(_xlpm.v)))))</f>
        <v>—</v>
      </c>
      <c r="G53" s="154" t="str">
        <f>IF(B53="","",_xlfn.LET(_xlpm.v,_xlfn.XLOOKUP(B53,Maestro!$I$11:$I$70,Maestro!$U$11:$U$70,"—"),IF(_xlpm.v="","—",IF(LEN(_xlpm.v)&gt;1,UPPER(LEFT(_xlpm.v,1))&amp;MID(_xlpm.v,2,LEN(_xlpm.v)),UPPER(_xlpm.v)))))</f>
        <v>—</v>
      </c>
      <c r="H53" s="154" t="str">
        <f>IF(B53="","",_xlfn.LET(_xlpm.v,_xlfn.XLOOKUP(B53,Maestro!$I$11:$I$70,Maestro!$AQ$11:$AQ$70,"—"),IF(ISNUMBER(_xlpm.v),TEXT(_xlpm.v,"0%"),IF(_xlpm.v="","—",IF(LEN(_xlpm.v)&gt;1,UPPER(LEFT(_xlpm.v,1))&amp;MID(_xlpm.v,2,LEN(_xlpm.v)),UPPER(_xlpm.v))))))</f>
        <v>—</v>
      </c>
      <c r="I53" s="154" t="str">
        <f>IF(B53="","",_xlfn.LET(_xlpm.v,_xlfn.XLOOKUP(B53,Maestro!$I$11:$I$70,Maestro!$AR$11:$AR$70,"—"),IF(_xlpm.v="","—",IF(LEN(_xlpm.v)&gt;1,UPPER(LEFT(_xlpm.v,1))&amp;MID(_xlpm.v,2,LEN(_xlpm.v)),UPPER(_xlpm.v)))))</f>
        <v>—</v>
      </c>
      <c r="J53" s="154" t="str">
        <f>IF(B53="","",_xlfn.LET(_xlpm.v,_xlfn.XLOOKUP(B53,Maestro!$I$11:$I$70,Maestro!$BD$11:$BD$70,"—"),IF(_xlpm.v="","—",IF(LEN(_xlpm.v)&gt;1,UPPER(LEFT(_xlpm.v,1))&amp;MID(_xlpm.v,2,LEN(_xlpm.v)),UPPER(_xlpm.v)))))</f>
        <v>—</v>
      </c>
      <c r="K53" s="155" t="str">
        <f>IF(B53="","",_xlfn.LET(_xlpm.v,_xlfn.XLOOKUP(B53,Maestro!$I$11:$I$70,Maestro!$BP$11:$BP$70,"—"),IF(_xlpm.v="","—",IF(LEN(_xlpm.v)&gt;1,UPPER(LEFT(_xlpm.v,1))&amp;MID(_xlpm.v,2,LEN(_xlpm.v)),UPPER(_xlpm.v)))))</f>
        <v>—</v>
      </c>
      <c r="L53" s="155" t="str">
        <f t="shared" si="6"/>
        <v>✖ Pendiente</v>
      </c>
    </row>
    <row r="54" spans="2:12" x14ac:dyDescent="0.3">
      <c r="B54" s="163">
        <f>IF(Maestro!I30="","",Maestro!I30)</f>
        <v>111399</v>
      </c>
      <c r="C54" s="131" t="str">
        <f>IF(B54="","",_xlfn.LET(_xlpm.v,_xlfn.XLOOKUP(B54,Maestro!$I$11:$I$70,Maestro!$E$11:$E$70,"—"),IF(_xlpm.v="","—",_xlpm.v)))</f>
        <v>—</v>
      </c>
      <c r="D54" s="165" t="str">
        <f>IF(B54="","",SUBSTITUTE(_xlfn.XLOOKUP(B54,Maestro!$I$11:$I$70,Maestro!$C$11:$C$70,"—"),"Facultad de ",""))</f>
        <v/>
      </c>
      <c r="E54" s="134" t="str">
        <f>IF(B54="","",_xlfn.LET(_xlpm.v,_xlfn.XLOOKUP(B54,Maestro!$I$11:$I$70,Maestro!$F$11:$F$70,"—"),IF(_xlpm.v="","—",_xlpm.v)))</f>
        <v>—</v>
      </c>
      <c r="F54" s="134" t="str">
        <f>IF(B54="","",_xlfn.LET(_xlpm.v,_xlfn.XLOOKUP(B54,Maestro!$I$11:$I$70,Maestro!$R$11:$R$70,"—"),IF(_xlpm.v="","—",IF(LEN(_xlpm.v)&gt;1,UPPER(LEFT(_xlpm.v,1))&amp;MID(_xlpm.v,2,LEN(_xlpm.v)),UPPER(_xlpm.v)))))</f>
        <v>—</v>
      </c>
      <c r="G54" s="134" t="str">
        <f>IF(B54="","",_xlfn.LET(_xlpm.v,_xlfn.XLOOKUP(B54,Maestro!$I$11:$I$70,Maestro!$U$11:$U$70,"—"),IF(_xlpm.v="","—",IF(LEN(_xlpm.v)&gt;1,UPPER(LEFT(_xlpm.v,1))&amp;MID(_xlpm.v,2,LEN(_xlpm.v)),UPPER(_xlpm.v)))))</f>
        <v>—</v>
      </c>
      <c r="H54" s="134" t="str">
        <f>IF(B54="","",_xlfn.LET(_xlpm.v,_xlfn.XLOOKUP(B54,Maestro!$I$11:$I$70,Maestro!$AQ$11:$AQ$70,"—"),IF(ISNUMBER(_xlpm.v),TEXT(_xlpm.v,"0%"),IF(_xlpm.v="","—",IF(LEN(_xlpm.v)&gt;1,UPPER(LEFT(_xlpm.v,1))&amp;MID(_xlpm.v,2,LEN(_xlpm.v)),UPPER(_xlpm.v))))))</f>
        <v>—</v>
      </c>
      <c r="I54" s="134" t="str">
        <f>IF(B54="","",_xlfn.LET(_xlpm.v,_xlfn.XLOOKUP(B54,Maestro!$I$11:$I$70,Maestro!$AR$11:$AR$70,"—"),IF(_xlpm.v="","—",IF(LEN(_xlpm.v)&gt;1,UPPER(LEFT(_xlpm.v,1))&amp;MID(_xlpm.v,2,LEN(_xlpm.v)),UPPER(_xlpm.v)))))</f>
        <v>—</v>
      </c>
      <c r="J54" s="134" t="str">
        <f>IF(B54="","",_xlfn.LET(_xlpm.v,_xlfn.XLOOKUP(B54,Maestro!$I$11:$I$70,Maestro!$BD$11:$BD$70,"—"),IF(_xlpm.v="","—",IF(LEN(_xlpm.v)&gt;1,UPPER(LEFT(_xlpm.v,1))&amp;MID(_xlpm.v,2,LEN(_xlpm.v)),UPPER(_xlpm.v)))))</f>
        <v>—</v>
      </c>
      <c r="K54" s="135" t="str">
        <f>IF(B54="","",_xlfn.LET(_xlpm.v,_xlfn.XLOOKUP(B54,Maestro!$I$11:$I$70,Maestro!$BP$11:$BP$70,"—"),IF(_xlpm.v="","—",IF(LEN(_xlpm.v)&gt;1,UPPER(LEFT(_xlpm.v,1))&amp;MID(_xlpm.v,2,LEN(_xlpm.v)),UPPER(_xlpm.v)))))</f>
        <v>—</v>
      </c>
      <c r="L54" s="135" t="str">
        <f t="shared" si="6"/>
        <v>✖ Pendiente</v>
      </c>
    </row>
    <row r="55" spans="2:12" x14ac:dyDescent="0.3">
      <c r="B55" s="162">
        <f>IF(Maestro!I31="","",Maestro!I31)</f>
        <v>111178</v>
      </c>
      <c r="C55" s="153" t="str">
        <f>IF(B55="","",_xlfn.LET(_xlpm.v,_xlfn.XLOOKUP(B55,Maestro!$I$11:$I$70,Maestro!$E$11:$E$70,"—"),IF(_xlpm.v="","—",_xlpm.v)))</f>
        <v>—</v>
      </c>
      <c r="D55" s="164" t="str">
        <f>IF(B55="","",SUBSTITUTE(_xlfn.XLOOKUP(B55,Maestro!$I$11:$I$70,Maestro!$C$11:$C$70,"—"),"Facultad de ",""))</f>
        <v/>
      </c>
      <c r="E55" s="154" t="str">
        <f>IF(B55="","",_xlfn.LET(_xlpm.v,_xlfn.XLOOKUP(B55,Maestro!$I$11:$I$70,Maestro!$F$11:$F$70,"—"),IF(_xlpm.v="","—",_xlpm.v)))</f>
        <v>—</v>
      </c>
      <c r="F55" s="154" t="str">
        <f>IF(B55="","",_xlfn.LET(_xlpm.v,_xlfn.XLOOKUP(B55,Maestro!$I$11:$I$70,Maestro!$R$11:$R$70,"—"),IF(_xlpm.v="","—",IF(LEN(_xlpm.v)&gt;1,UPPER(LEFT(_xlpm.v,1))&amp;MID(_xlpm.v,2,LEN(_xlpm.v)),UPPER(_xlpm.v)))))</f>
        <v>—</v>
      </c>
      <c r="G55" s="154" t="str">
        <f>IF(B55="","",_xlfn.LET(_xlpm.v,_xlfn.XLOOKUP(B55,Maestro!$I$11:$I$70,Maestro!$U$11:$U$70,"—"),IF(_xlpm.v="","—",IF(LEN(_xlpm.v)&gt;1,UPPER(LEFT(_xlpm.v,1))&amp;MID(_xlpm.v,2,LEN(_xlpm.v)),UPPER(_xlpm.v)))))</f>
        <v>—</v>
      </c>
      <c r="H55" s="154" t="str">
        <f>IF(B55="","",_xlfn.LET(_xlpm.v,_xlfn.XLOOKUP(B55,Maestro!$I$11:$I$70,Maestro!$AQ$11:$AQ$70,"—"),IF(ISNUMBER(_xlpm.v),TEXT(_xlpm.v,"0%"),IF(_xlpm.v="","—",IF(LEN(_xlpm.v)&gt;1,UPPER(LEFT(_xlpm.v,1))&amp;MID(_xlpm.v,2,LEN(_xlpm.v)),UPPER(_xlpm.v))))))</f>
        <v>—</v>
      </c>
      <c r="I55" s="154" t="str">
        <f>IF(B55="","",_xlfn.LET(_xlpm.v,_xlfn.XLOOKUP(B55,Maestro!$I$11:$I$70,Maestro!$AR$11:$AR$70,"—"),IF(_xlpm.v="","—",IF(LEN(_xlpm.v)&gt;1,UPPER(LEFT(_xlpm.v,1))&amp;MID(_xlpm.v,2,LEN(_xlpm.v)),UPPER(_xlpm.v)))))</f>
        <v>—</v>
      </c>
      <c r="J55" s="154" t="str">
        <f>IF(B55="","",_xlfn.LET(_xlpm.v,_xlfn.XLOOKUP(B55,Maestro!$I$11:$I$70,Maestro!$BD$11:$BD$70,"—"),IF(_xlpm.v="","—",IF(LEN(_xlpm.v)&gt;1,UPPER(LEFT(_xlpm.v,1))&amp;MID(_xlpm.v,2,LEN(_xlpm.v)),UPPER(_xlpm.v)))))</f>
        <v>—</v>
      </c>
      <c r="K55" s="155" t="str">
        <f>IF(B55="","",_xlfn.LET(_xlpm.v,_xlfn.XLOOKUP(B55,Maestro!$I$11:$I$70,Maestro!$BP$11:$BP$70,"—"),IF(_xlpm.v="","—",IF(LEN(_xlpm.v)&gt;1,UPPER(LEFT(_xlpm.v,1))&amp;MID(_xlpm.v,2,LEN(_xlpm.v)),UPPER(_xlpm.v)))))</f>
        <v>—</v>
      </c>
      <c r="L55" s="155" t="str">
        <f t="shared" si="6"/>
        <v>✖ Pendiente</v>
      </c>
    </row>
    <row r="56" spans="2:12" x14ac:dyDescent="0.3">
      <c r="B56" s="163">
        <f>IF(Maestro!I32="","",Maestro!I32)</f>
        <v>1892</v>
      </c>
      <c r="C56" s="131" t="str">
        <f>IF(B56="","",_xlfn.LET(_xlpm.v,_xlfn.XLOOKUP(B56,Maestro!$I$11:$I$70,Maestro!$E$11:$E$70,"—"),IF(_xlpm.v="","—",_xlpm.v)))</f>
        <v>—</v>
      </c>
      <c r="D56" s="165" t="str">
        <f>IF(B56="","",SUBSTITUTE(_xlfn.XLOOKUP(B56,Maestro!$I$11:$I$70,Maestro!$C$11:$C$70,"—"),"Facultad de ",""))</f>
        <v/>
      </c>
      <c r="E56" s="134" t="str">
        <f>IF(B56="","",_xlfn.LET(_xlpm.v,_xlfn.XLOOKUP(B56,Maestro!$I$11:$I$70,Maestro!$F$11:$F$70,"—"),IF(_xlpm.v="","—",_xlpm.v)))</f>
        <v>—</v>
      </c>
      <c r="F56" s="134" t="str">
        <f>IF(B56="","",_xlfn.LET(_xlpm.v,_xlfn.XLOOKUP(B56,Maestro!$I$11:$I$70,Maestro!$R$11:$R$70,"—"),IF(_xlpm.v="","—",IF(LEN(_xlpm.v)&gt;1,UPPER(LEFT(_xlpm.v,1))&amp;MID(_xlpm.v,2,LEN(_xlpm.v)),UPPER(_xlpm.v)))))</f>
        <v>—</v>
      </c>
      <c r="G56" s="134" t="str">
        <f>IF(B56="","",_xlfn.LET(_xlpm.v,_xlfn.XLOOKUP(B56,Maestro!$I$11:$I$70,Maestro!$U$11:$U$70,"—"),IF(_xlpm.v="","—",IF(LEN(_xlpm.v)&gt;1,UPPER(LEFT(_xlpm.v,1))&amp;MID(_xlpm.v,2,LEN(_xlpm.v)),UPPER(_xlpm.v)))))</f>
        <v>—</v>
      </c>
      <c r="H56" s="134" t="str">
        <f>IF(B56="","",_xlfn.LET(_xlpm.v,_xlfn.XLOOKUP(B56,Maestro!$I$11:$I$70,Maestro!$AQ$11:$AQ$70,"—"),IF(ISNUMBER(_xlpm.v),TEXT(_xlpm.v,"0%"),IF(_xlpm.v="","—",IF(LEN(_xlpm.v)&gt;1,UPPER(LEFT(_xlpm.v,1))&amp;MID(_xlpm.v,2,LEN(_xlpm.v)),UPPER(_xlpm.v))))))</f>
        <v>—</v>
      </c>
      <c r="I56" s="134" t="str">
        <f>IF(B56="","",_xlfn.LET(_xlpm.v,_xlfn.XLOOKUP(B56,Maestro!$I$11:$I$70,Maestro!$AR$11:$AR$70,"—"),IF(_xlpm.v="","—",IF(LEN(_xlpm.v)&gt;1,UPPER(LEFT(_xlpm.v,1))&amp;MID(_xlpm.v,2,LEN(_xlpm.v)),UPPER(_xlpm.v)))))</f>
        <v>—</v>
      </c>
      <c r="J56" s="134" t="str">
        <f>IF(B56="","",_xlfn.LET(_xlpm.v,_xlfn.XLOOKUP(B56,Maestro!$I$11:$I$70,Maestro!$BD$11:$BD$70,"—"),IF(_xlpm.v="","—",IF(LEN(_xlpm.v)&gt;1,UPPER(LEFT(_xlpm.v,1))&amp;MID(_xlpm.v,2,LEN(_xlpm.v)),UPPER(_xlpm.v)))))</f>
        <v>—</v>
      </c>
      <c r="K56" s="135" t="str">
        <f>IF(B56="","",_xlfn.LET(_xlpm.v,_xlfn.XLOOKUP(B56,Maestro!$I$11:$I$70,Maestro!$BP$11:$BP$70,"—"),IF(_xlpm.v="","—",IF(LEN(_xlpm.v)&gt;1,UPPER(LEFT(_xlpm.v,1))&amp;MID(_xlpm.v,2,LEN(_xlpm.v)),UPPER(_xlpm.v)))))</f>
        <v>—</v>
      </c>
      <c r="L56" s="135" t="str">
        <f t="shared" si="6"/>
        <v>✖ Pendiente</v>
      </c>
    </row>
    <row r="57" spans="2:12" x14ac:dyDescent="0.3">
      <c r="B57" s="162">
        <f>IF(Maestro!I33="","",Maestro!I33)</f>
        <v>107647</v>
      </c>
      <c r="C57" s="153" t="str">
        <f>IF(B57="","",_xlfn.LET(_xlpm.v,_xlfn.XLOOKUP(B57,Maestro!$I$11:$I$70,Maestro!$E$11:$E$70,"—"),IF(_xlpm.v="","—",_xlpm.v)))</f>
        <v>—</v>
      </c>
      <c r="D57" s="164" t="str">
        <f>IF(B57="","",SUBSTITUTE(_xlfn.XLOOKUP(B57,Maestro!$I$11:$I$70,Maestro!$C$11:$C$70,"—"),"Facultad de ",""))</f>
        <v/>
      </c>
      <c r="E57" s="154" t="str">
        <f>IF(B57="","",_xlfn.LET(_xlpm.v,_xlfn.XLOOKUP(B57,Maestro!$I$11:$I$70,Maestro!$F$11:$F$70,"—"),IF(_xlpm.v="","—",_xlpm.v)))</f>
        <v>—</v>
      </c>
      <c r="F57" s="154" t="str">
        <f>IF(B57="","",_xlfn.LET(_xlpm.v,_xlfn.XLOOKUP(B57,Maestro!$I$11:$I$70,Maestro!$R$11:$R$70,"—"),IF(_xlpm.v="","—",IF(LEN(_xlpm.v)&gt;1,UPPER(LEFT(_xlpm.v,1))&amp;MID(_xlpm.v,2,LEN(_xlpm.v)),UPPER(_xlpm.v)))))</f>
        <v>—</v>
      </c>
      <c r="G57" s="154" t="str">
        <f>IF(B57="","",_xlfn.LET(_xlpm.v,_xlfn.XLOOKUP(B57,Maestro!$I$11:$I$70,Maestro!$U$11:$U$70,"—"),IF(_xlpm.v="","—",IF(LEN(_xlpm.v)&gt;1,UPPER(LEFT(_xlpm.v,1))&amp;MID(_xlpm.v,2,LEN(_xlpm.v)),UPPER(_xlpm.v)))))</f>
        <v>—</v>
      </c>
      <c r="H57" s="154" t="str">
        <f>IF(B57="","",_xlfn.LET(_xlpm.v,_xlfn.XLOOKUP(B57,Maestro!$I$11:$I$70,Maestro!$AQ$11:$AQ$70,"—"),IF(ISNUMBER(_xlpm.v),TEXT(_xlpm.v,"0%"),IF(_xlpm.v="","—",IF(LEN(_xlpm.v)&gt;1,UPPER(LEFT(_xlpm.v,1))&amp;MID(_xlpm.v,2,LEN(_xlpm.v)),UPPER(_xlpm.v))))))</f>
        <v>—</v>
      </c>
      <c r="I57" s="154" t="str">
        <f>IF(B57="","",_xlfn.LET(_xlpm.v,_xlfn.XLOOKUP(B57,Maestro!$I$11:$I$70,Maestro!$AR$11:$AR$70,"—"),IF(_xlpm.v="","—",IF(LEN(_xlpm.v)&gt;1,UPPER(LEFT(_xlpm.v,1))&amp;MID(_xlpm.v,2,LEN(_xlpm.v)),UPPER(_xlpm.v)))))</f>
        <v>—</v>
      </c>
      <c r="J57" s="154" t="str">
        <f>IF(B57="","",_xlfn.LET(_xlpm.v,_xlfn.XLOOKUP(B57,Maestro!$I$11:$I$70,Maestro!$BD$11:$BD$70,"—"),IF(_xlpm.v="","—",IF(LEN(_xlpm.v)&gt;1,UPPER(LEFT(_xlpm.v,1))&amp;MID(_xlpm.v,2,LEN(_xlpm.v)),UPPER(_xlpm.v)))))</f>
        <v>—</v>
      </c>
      <c r="K57" s="155" t="str">
        <f>IF(B57="","",_xlfn.LET(_xlpm.v,_xlfn.XLOOKUP(B57,Maestro!$I$11:$I$70,Maestro!$BP$11:$BP$70,"—"),IF(_xlpm.v="","—",IF(LEN(_xlpm.v)&gt;1,UPPER(LEFT(_xlpm.v,1))&amp;MID(_xlpm.v,2,LEN(_xlpm.v)),UPPER(_xlpm.v)))))</f>
        <v>—</v>
      </c>
      <c r="L57" s="155" t="str">
        <f t="shared" si="6"/>
        <v>✖ Pendiente</v>
      </c>
    </row>
    <row r="58" spans="2:12" x14ac:dyDescent="0.3">
      <c r="B58" s="163">
        <f>IF(Maestro!I34="","",Maestro!I34)</f>
        <v>1895</v>
      </c>
      <c r="C58" s="131" t="str">
        <f>IF(B58="","",_xlfn.LET(_xlpm.v,_xlfn.XLOOKUP(B58,Maestro!$I$11:$I$70,Maestro!$E$11:$E$70,"—"),IF(_xlpm.v="","—",_xlpm.v)))</f>
        <v>—</v>
      </c>
      <c r="D58" s="165" t="str">
        <f>IF(B58="","",SUBSTITUTE(_xlfn.XLOOKUP(B58,Maestro!$I$11:$I$70,Maestro!$C$11:$C$70,"—"),"Facultad de ",""))</f>
        <v/>
      </c>
      <c r="E58" s="134" t="str">
        <f>IF(B58="","",_xlfn.LET(_xlpm.v,_xlfn.XLOOKUP(B58,Maestro!$I$11:$I$70,Maestro!$F$11:$F$70,"—"),IF(_xlpm.v="","—",_xlpm.v)))</f>
        <v>—</v>
      </c>
      <c r="F58" s="134" t="str">
        <f>IF(B58="","",_xlfn.LET(_xlpm.v,_xlfn.XLOOKUP(B58,Maestro!$I$11:$I$70,Maestro!$R$11:$R$70,"—"),IF(_xlpm.v="","—",IF(LEN(_xlpm.v)&gt;1,UPPER(LEFT(_xlpm.v,1))&amp;MID(_xlpm.v,2,LEN(_xlpm.v)),UPPER(_xlpm.v)))))</f>
        <v>—</v>
      </c>
      <c r="G58" s="134" t="str">
        <f>IF(B58="","",_xlfn.LET(_xlpm.v,_xlfn.XLOOKUP(B58,Maestro!$I$11:$I$70,Maestro!$U$11:$U$70,"—"),IF(_xlpm.v="","—",IF(LEN(_xlpm.v)&gt;1,UPPER(LEFT(_xlpm.v,1))&amp;MID(_xlpm.v,2,LEN(_xlpm.v)),UPPER(_xlpm.v)))))</f>
        <v>—</v>
      </c>
      <c r="H58" s="134" t="str">
        <f>IF(B58="","",_xlfn.LET(_xlpm.v,_xlfn.XLOOKUP(B58,Maestro!$I$11:$I$70,Maestro!$AQ$11:$AQ$70,"—"),IF(ISNUMBER(_xlpm.v),TEXT(_xlpm.v,"0%"),IF(_xlpm.v="","—",IF(LEN(_xlpm.v)&gt;1,UPPER(LEFT(_xlpm.v,1))&amp;MID(_xlpm.v,2,LEN(_xlpm.v)),UPPER(_xlpm.v))))))</f>
        <v>—</v>
      </c>
      <c r="I58" s="134" t="str">
        <f>IF(B58="","",_xlfn.LET(_xlpm.v,_xlfn.XLOOKUP(B58,Maestro!$I$11:$I$70,Maestro!$AR$11:$AR$70,"—"),IF(_xlpm.v="","—",IF(LEN(_xlpm.v)&gt;1,UPPER(LEFT(_xlpm.v,1))&amp;MID(_xlpm.v,2,LEN(_xlpm.v)),UPPER(_xlpm.v)))))</f>
        <v>—</v>
      </c>
      <c r="J58" s="134" t="str">
        <f>IF(B58="","",_xlfn.LET(_xlpm.v,_xlfn.XLOOKUP(B58,Maestro!$I$11:$I$70,Maestro!$BD$11:$BD$70,"—"),IF(_xlpm.v="","—",IF(LEN(_xlpm.v)&gt;1,UPPER(LEFT(_xlpm.v,1))&amp;MID(_xlpm.v,2,LEN(_xlpm.v)),UPPER(_xlpm.v)))))</f>
        <v>—</v>
      </c>
      <c r="K58" s="135" t="str">
        <f>IF(B58="","",_xlfn.LET(_xlpm.v,_xlfn.XLOOKUP(B58,Maestro!$I$11:$I$70,Maestro!$BP$11:$BP$70,"—"),IF(_xlpm.v="","—",IF(LEN(_xlpm.v)&gt;1,UPPER(LEFT(_xlpm.v,1))&amp;MID(_xlpm.v,2,LEN(_xlpm.v)),UPPER(_xlpm.v)))))</f>
        <v>—</v>
      </c>
      <c r="L58" s="135" t="str">
        <f t="shared" si="6"/>
        <v>✖ Pendiente</v>
      </c>
    </row>
    <row r="59" spans="2:12" x14ac:dyDescent="0.3">
      <c r="B59" s="162">
        <f>IF(Maestro!I35="","",Maestro!I35)</f>
        <v>103090</v>
      </c>
      <c r="C59" s="153" t="str">
        <f>IF(B59="","",_xlfn.LET(_xlpm.v,_xlfn.XLOOKUP(B59,Maestro!$I$11:$I$70,Maestro!$E$11:$E$70,"—"),IF(_xlpm.v="","—",_xlpm.v)))</f>
        <v>—</v>
      </c>
      <c r="D59" s="164" t="str">
        <f>IF(B59="","",SUBSTITUTE(_xlfn.XLOOKUP(B59,Maestro!$I$11:$I$70,Maestro!$C$11:$C$70,"—"),"Facultad de ",""))</f>
        <v/>
      </c>
      <c r="E59" s="154" t="str">
        <f>IF(B59="","",_xlfn.LET(_xlpm.v,_xlfn.XLOOKUP(B59,Maestro!$I$11:$I$70,Maestro!$F$11:$F$70,"—"),IF(_xlpm.v="","—",_xlpm.v)))</f>
        <v>—</v>
      </c>
      <c r="F59" s="154" t="str">
        <f>IF(B59="","",_xlfn.LET(_xlpm.v,_xlfn.XLOOKUP(B59,Maestro!$I$11:$I$70,Maestro!$R$11:$R$70,"—"),IF(_xlpm.v="","—",IF(LEN(_xlpm.v)&gt;1,UPPER(LEFT(_xlpm.v,1))&amp;MID(_xlpm.v,2,LEN(_xlpm.v)),UPPER(_xlpm.v)))))</f>
        <v>—</v>
      </c>
      <c r="G59" s="154" t="str">
        <f>IF(B59="","",_xlfn.LET(_xlpm.v,_xlfn.XLOOKUP(B59,Maestro!$I$11:$I$70,Maestro!$U$11:$U$70,"—"),IF(_xlpm.v="","—",IF(LEN(_xlpm.v)&gt;1,UPPER(LEFT(_xlpm.v,1))&amp;MID(_xlpm.v,2,LEN(_xlpm.v)),UPPER(_xlpm.v)))))</f>
        <v>—</v>
      </c>
      <c r="H59" s="154" t="str">
        <f>IF(B59="","",_xlfn.LET(_xlpm.v,_xlfn.XLOOKUP(B59,Maestro!$I$11:$I$70,Maestro!$AQ$11:$AQ$70,"—"),IF(ISNUMBER(_xlpm.v),TEXT(_xlpm.v,"0%"),IF(_xlpm.v="","—",IF(LEN(_xlpm.v)&gt;1,UPPER(LEFT(_xlpm.v,1))&amp;MID(_xlpm.v,2,LEN(_xlpm.v)),UPPER(_xlpm.v))))))</f>
        <v>—</v>
      </c>
      <c r="I59" s="154" t="str">
        <f>IF(B59="","",_xlfn.LET(_xlpm.v,_xlfn.XLOOKUP(B59,Maestro!$I$11:$I$70,Maestro!$AR$11:$AR$70,"—"),IF(_xlpm.v="","—",IF(LEN(_xlpm.v)&gt;1,UPPER(LEFT(_xlpm.v,1))&amp;MID(_xlpm.v,2,LEN(_xlpm.v)),UPPER(_xlpm.v)))))</f>
        <v>—</v>
      </c>
      <c r="J59" s="154" t="str">
        <f>IF(B59="","",_xlfn.LET(_xlpm.v,_xlfn.XLOOKUP(B59,Maestro!$I$11:$I$70,Maestro!$BD$11:$BD$70,"—"),IF(_xlpm.v="","—",IF(LEN(_xlpm.v)&gt;1,UPPER(LEFT(_xlpm.v,1))&amp;MID(_xlpm.v,2,LEN(_xlpm.v)),UPPER(_xlpm.v)))))</f>
        <v>—</v>
      </c>
      <c r="K59" s="155" t="str">
        <f>IF(B59="","",_xlfn.LET(_xlpm.v,_xlfn.XLOOKUP(B59,Maestro!$I$11:$I$70,Maestro!$BP$11:$BP$70,"—"),IF(_xlpm.v="","—",IF(LEN(_xlpm.v)&gt;1,UPPER(LEFT(_xlpm.v,1))&amp;MID(_xlpm.v,2,LEN(_xlpm.v)),UPPER(_xlpm.v)))))</f>
        <v>—</v>
      </c>
      <c r="L59" s="155" t="str">
        <f t="shared" si="6"/>
        <v>✖ Pendiente</v>
      </c>
    </row>
    <row r="60" spans="2:12" x14ac:dyDescent="0.3">
      <c r="B60" s="163">
        <f>IF(Maestro!I36="","",Maestro!I36)</f>
        <v>102847</v>
      </c>
      <c r="C60" s="131" t="str">
        <f>IF(B60="","",_xlfn.LET(_xlpm.v,_xlfn.XLOOKUP(B60,Maestro!$I$11:$I$70,Maestro!$E$11:$E$70,"—"),IF(_xlpm.v="","—",_xlpm.v)))</f>
        <v>—</v>
      </c>
      <c r="D60" s="165" t="str">
        <f>IF(B60="","",SUBSTITUTE(_xlfn.XLOOKUP(B60,Maestro!$I$11:$I$70,Maestro!$C$11:$C$70,"—"),"Facultad de ",""))</f>
        <v/>
      </c>
      <c r="E60" s="134" t="str">
        <f>IF(B60="","",_xlfn.LET(_xlpm.v,_xlfn.XLOOKUP(B60,Maestro!$I$11:$I$70,Maestro!$F$11:$F$70,"—"),IF(_xlpm.v="","—",_xlpm.v)))</f>
        <v>—</v>
      </c>
      <c r="F60" s="134" t="str">
        <f>IF(B60="","",_xlfn.LET(_xlpm.v,_xlfn.XLOOKUP(B60,Maestro!$I$11:$I$70,Maestro!$R$11:$R$70,"—"),IF(_xlpm.v="","—",IF(LEN(_xlpm.v)&gt;1,UPPER(LEFT(_xlpm.v,1))&amp;MID(_xlpm.v,2,LEN(_xlpm.v)),UPPER(_xlpm.v)))))</f>
        <v>—</v>
      </c>
      <c r="G60" s="134" t="str">
        <f>IF(B60="","",_xlfn.LET(_xlpm.v,_xlfn.XLOOKUP(B60,Maestro!$I$11:$I$70,Maestro!$U$11:$U$70,"—"),IF(_xlpm.v="","—",IF(LEN(_xlpm.v)&gt;1,UPPER(LEFT(_xlpm.v,1))&amp;MID(_xlpm.v,2,LEN(_xlpm.v)),UPPER(_xlpm.v)))))</f>
        <v>—</v>
      </c>
      <c r="H60" s="134" t="str">
        <f>IF(B60="","",_xlfn.LET(_xlpm.v,_xlfn.XLOOKUP(B60,Maestro!$I$11:$I$70,Maestro!$AQ$11:$AQ$70,"—"),IF(ISNUMBER(_xlpm.v),TEXT(_xlpm.v,"0%"),IF(_xlpm.v="","—",IF(LEN(_xlpm.v)&gt;1,UPPER(LEFT(_xlpm.v,1))&amp;MID(_xlpm.v,2,LEN(_xlpm.v)),UPPER(_xlpm.v))))))</f>
        <v>—</v>
      </c>
      <c r="I60" s="134" t="str">
        <f>IF(B60="","",_xlfn.LET(_xlpm.v,_xlfn.XLOOKUP(B60,Maestro!$I$11:$I$70,Maestro!$AR$11:$AR$70,"—"),IF(_xlpm.v="","—",IF(LEN(_xlpm.v)&gt;1,UPPER(LEFT(_xlpm.v,1))&amp;MID(_xlpm.v,2,LEN(_xlpm.v)),UPPER(_xlpm.v)))))</f>
        <v>—</v>
      </c>
      <c r="J60" s="134" t="str">
        <f>IF(B60="","",_xlfn.LET(_xlpm.v,_xlfn.XLOOKUP(B60,Maestro!$I$11:$I$70,Maestro!$BD$11:$BD$70,"—"),IF(_xlpm.v="","—",IF(LEN(_xlpm.v)&gt;1,UPPER(LEFT(_xlpm.v,1))&amp;MID(_xlpm.v,2,LEN(_xlpm.v)),UPPER(_xlpm.v)))))</f>
        <v>—</v>
      </c>
      <c r="K60" s="135" t="str">
        <f>IF(B60="","",_xlfn.LET(_xlpm.v,_xlfn.XLOOKUP(B60,Maestro!$I$11:$I$70,Maestro!$BP$11:$BP$70,"—"),IF(_xlpm.v="","—",IF(LEN(_xlpm.v)&gt;1,UPPER(LEFT(_xlpm.v,1))&amp;MID(_xlpm.v,2,LEN(_xlpm.v)),UPPER(_xlpm.v)))))</f>
        <v>—</v>
      </c>
      <c r="L60" s="135" t="str">
        <f t="shared" si="6"/>
        <v>✖ Pendiente</v>
      </c>
    </row>
    <row r="61" spans="2:12" x14ac:dyDescent="0.3">
      <c r="B61" s="162">
        <f>IF(Maestro!I37="","",Maestro!I37)</f>
        <v>101382</v>
      </c>
      <c r="C61" s="153" t="str">
        <f>IF(B61="","",_xlfn.LET(_xlpm.v,_xlfn.XLOOKUP(B61,Maestro!$I$11:$I$70,Maestro!$E$11:$E$70,"—"),IF(_xlpm.v="","—",_xlpm.v)))</f>
        <v>—</v>
      </c>
      <c r="D61" s="164" t="str">
        <f>IF(B61="","",SUBSTITUTE(_xlfn.XLOOKUP(B61,Maestro!$I$11:$I$70,Maestro!$C$11:$C$70,"—"),"Facultad de ",""))</f>
        <v/>
      </c>
      <c r="E61" s="154" t="str">
        <f>IF(B61="","",_xlfn.LET(_xlpm.v,_xlfn.XLOOKUP(B61,Maestro!$I$11:$I$70,Maestro!$F$11:$F$70,"—"),IF(_xlpm.v="","—",_xlpm.v)))</f>
        <v>—</v>
      </c>
      <c r="F61" s="154" t="str">
        <f>IF(B61="","",_xlfn.LET(_xlpm.v,_xlfn.XLOOKUP(B61,Maestro!$I$11:$I$70,Maestro!$R$11:$R$70,"—"),IF(_xlpm.v="","—",IF(LEN(_xlpm.v)&gt;1,UPPER(LEFT(_xlpm.v,1))&amp;MID(_xlpm.v,2,LEN(_xlpm.v)),UPPER(_xlpm.v)))))</f>
        <v>—</v>
      </c>
      <c r="G61" s="154" t="str">
        <f>IF(B61="","",_xlfn.LET(_xlpm.v,_xlfn.XLOOKUP(B61,Maestro!$I$11:$I$70,Maestro!$U$11:$U$70,"—"),IF(_xlpm.v="","—",IF(LEN(_xlpm.v)&gt;1,UPPER(LEFT(_xlpm.v,1))&amp;MID(_xlpm.v,2,LEN(_xlpm.v)),UPPER(_xlpm.v)))))</f>
        <v>—</v>
      </c>
      <c r="H61" s="154" t="str">
        <f>IF(B61="","",_xlfn.LET(_xlpm.v,_xlfn.XLOOKUP(B61,Maestro!$I$11:$I$70,Maestro!$AQ$11:$AQ$70,"—"),IF(ISNUMBER(_xlpm.v),TEXT(_xlpm.v,"0%"),IF(_xlpm.v="","—",IF(LEN(_xlpm.v)&gt;1,UPPER(LEFT(_xlpm.v,1))&amp;MID(_xlpm.v,2,LEN(_xlpm.v)),UPPER(_xlpm.v))))))</f>
        <v>—</v>
      </c>
      <c r="I61" s="154" t="str">
        <f>IF(B61="","",_xlfn.LET(_xlpm.v,_xlfn.XLOOKUP(B61,Maestro!$I$11:$I$70,Maestro!$AR$11:$AR$70,"—"),IF(_xlpm.v="","—",IF(LEN(_xlpm.v)&gt;1,UPPER(LEFT(_xlpm.v,1))&amp;MID(_xlpm.v,2,LEN(_xlpm.v)),UPPER(_xlpm.v)))))</f>
        <v>—</v>
      </c>
      <c r="J61" s="154" t="str">
        <f>IF(B61="","",_xlfn.LET(_xlpm.v,_xlfn.XLOOKUP(B61,Maestro!$I$11:$I$70,Maestro!$BD$11:$BD$70,"—"),IF(_xlpm.v="","—",IF(LEN(_xlpm.v)&gt;1,UPPER(LEFT(_xlpm.v,1))&amp;MID(_xlpm.v,2,LEN(_xlpm.v)),UPPER(_xlpm.v)))))</f>
        <v>—</v>
      </c>
      <c r="K61" s="155" t="str">
        <f>IF(B61="","",_xlfn.LET(_xlpm.v,_xlfn.XLOOKUP(B61,Maestro!$I$11:$I$70,Maestro!$BP$11:$BP$70,"—"),IF(_xlpm.v="","—",IF(LEN(_xlpm.v)&gt;1,UPPER(LEFT(_xlpm.v,1))&amp;MID(_xlpm.v,2,LEN(_xlpm.v)),UPPER(_xlpm.v)))))</f>
        <v>—</v>
      </c>
      <c r="L61" s="155" t="str">
        <f t="shared" si="6"/>
        <v>✖ Pendiente</v>
      </c>
    </row>
    <row r="62" spans="2:12" x14ac:dyDescent="0.3">
      <c r="B62" s="163">
        <f>IF(Maestro!I38="","",Maestro!I38)</f>
        <v>53140</v>
      </c>
      <c r="C62" s="131" t="str">
        <f>IF(B62="","",_xlfn.LET(_xlpm.v,_xlfn.XLOOKUP(B62,Maestro!$I$11:$I$70,Maestro!$E$11:$E$70,"—"),IF(_xlpm.v="","—",_xlpm.v)))</f>
        <v>—</v>
      </c>
      <c r="D62" s="165" t="str">
        <f>IF(B62="","",SUBSTITUTE(_xlfn.XLOOKUP(B62,Maestro!$I$11:$I$70,Maestro!$C$11:$C$70,"—"),"Facultad de ",""))</f>
        <v/>
      </c>
      <c r="E62" s="134" t="str">
        <f>IF(B62="","",_xlfn.LET(_xlpm.v,_xlfn.XLOOKUP(B62,Maestro!$I$11:$I$70,Maestro!$F$11:$F$70,"—"),IF(_xlpm.v="","—",_xlpm.v)))</f>
        <v>—</v>
      </c>
      <c r="F62" s="134" t="str">
        <f>IF(B62="","",_xlfn.LET(_xlpm.v,_xlfn.XLOOKUP(B62,Maestro!$I$11:$I$70,Maestro!$R$11:$R$70,"—"),IF(_xlpm.v="","—",IF(LEN(_xlpm.v)&gt;1,UPPER(LEFT(_xlpm.v,1))&amp;MID(_xlpm.v,2,LEN(_xlpm.v)),UPPER(_xlpm.v)))))</f>
        <v>—</v>
      </c>
      <c r="G62" s="134" t="str">
        <f>IF(B62="","",_xlfn.LET(_xlpm.v,_xlfn.XLOOKUP(B62,Maestro!$I$11:$I$70,Maestro!$U$11:$U$70,"—"),IF(_xlpm.v="","—",IF(LEN(_xlpm.v)&gt;1,UPPER(LEFT(_xlpm.v,1))&amp;MID(_xlpm.v,2,LEN(_xlpm.v)),UPPER(_xlpm.v)))))</f>
        <v>—</v>
      </c>
      <c r="H62" s="134" t="str">
        <f>IF(B62="","",_xlfn.LET(_xlpm.v,_xlfn.XLOOKUP(B62,Maestro!$I$11:$I$70,Maestro!$AQ$11:$AQ$70,"—"),IF(ISNUMBER(_xlpm.v),TEXT(_xlpm.v,"0%"),IF(_xlpm.v="","—",IF(LEN(_xlpm.v)&gt;1,UPPER(LEFT(_xlpm.v,1))&amp;MID(_xlpm.v,2,LEN(_xlpm.v)),UPPER(_xlpm.v))))))</f>
        <v>—</v>
      </c>
      <c r="I62" s="134" t="str">
        <f>IF(B62="","",_xlfn.LET(_xlpm.v,_xlfn.XLOOKUP(B62,Maestro!$I$11:$I$70,Maestro!$AR$11:$AR$70,"—"),IF(_xlpm.v="","—",IF(LEN(_xlpm.v)&gt;1,UPPER(LEFT(_xlpm.v,1))&amp;MID(_xlpm.v,2,LEN(_xlpm.v)),UPPER(_xlpm.v)))))</f>
        <v>—</v>
      </c>
      <c r="J62" s="134" t="str">
        <f>IF(B62="","",_xlfn.LET(_xlpm.v,_xlfn.XLOOKUP(B62,Maestro!$I$11:$I$70,Maestro!$BD$11:$BD$70,"—"),IF(_xlpm.v="","—",IF(LEN(_xlpm.v)&gt;1,UPPER(LEFT(_xlpm.v,1))&amp;MID(_xlpm.v,2,LEN(_xlpm.v)),UPPER(_xlpm.v)))))</f>
        <v>—</v>
      </c>
      <c r="K62" s="135" t="str">
        <f>IF(B62="","",_xlfn.LET(_xlpm.v,_xlfn.XLOOKUP(B62,Maestro!$I$11:$I$70,Maestro!$BP$11:$BP$70,"—"),IF(_xlpm.v="","—",IF(LEN(_xlpm.v)&gt;1,UPPER(LEFT(_xlpm.v,1))&amp;MID(_xlpm.v,2,LEN(_xlpm.v)),UPPER(_xlpm.v)))))</f>
        <v>—</v>
      </c>
      <c r="L62" s="135" t="str">
        <f t="shared" si="6"/>
        <v>✖ Pendiente</v>
      </c>
    </row>
    <row r="63" spans="2:12" x14ac:dyDescent="0.3">
      <c r="B63" s="162">
        <f>IF(Maestro!I39="","",Maestro!I39)</f>
        <v>103799</v>
      </c>
      <c r="C63" s="153" t="str">
        <f>IF(B63="","",_xlfn.LET(_xlpm.v,_xlfn.XLOOKUP(B63,Maestro!$I$11:$I$70,Maestro!$E$11:$E$70,"—"),IF(_xlpm.v="","—",_xlpm.v)))</f>
        <v>—</v>
      </c>
      <c r="D63" s="164" t="str">
        <f>IF(B63="","",SUBSTITUTE(_xlfn.XLOOKUP(B63,Maestro!$I$11:$I$70,Maestro!$C$11:$C$70,"—"),"Facultad de ",""))</f>
        <v/>
      </c>
      <c r="E63" s="154" t="str">
        <f>IF(B63="","",_xlfn.LET(_xlpm.v,_xlfn.XLOOKUP(B63,Maestro!$I$11:$I$70,Maestro!$F$11:$F$70,"—"),IF(_xlpm.v="","—",_xlpm.v)))</f>
        <v>—</v>
      </c>
      <c r="F63" s="154" t="str">
        <f>IF(B63="","",_xlfn.LET(_xlpm.v,_xlfn.XLOOKUP(B63,Maestro!$I$11:$I$70,Maestro!$R$11:$R$70,"—"),IF(_xlpm.v="","—",IF(LEN(_xlpm.v)&gt;1,UPPER(LEFT(_xlpm.v,1))&amp;MID(_xlpm.v,2,LEN(_xlpm.v)),UPPER(_xlpm.v)))))</f>
        <v>—</v>
      </c>
      <c r="G63" s="154" t="str">
        <f>IF(B63="","",_xlfn.LET(_xlpm.v,_xlfn.XLOOKUP(B63,Maestro!$I$11:$I$70,Maestro!$U$11:$U$70,"—"),IF(_xlpm.v="","—",IF(LEN(_xlpm.v)&gt;1,UPPER(LEFT(_xlpm.v,1))&amp;MID(_xlpm.v,2,LEN(_xlpm.v)),UPPER(_xlpm.v)))))</f>
        <v>—</v>
      </c>
      <c r="H63" s="154" t="str">
        <f>IF(B63="","",_xlfn.LET(_xlpm.v,_xlfn.XLOOKUP(B63,Maestro!$I$11:$I$70,Maestro!$AQ$11:$AQ$70,"—"),IF(ISNUMBER(_xlpm.v),TEXT(_xlpm.v,"0%"),IF(_xlpm.v="","—",IF(LEN(_xlpm.v)&gt;1,UPPER(LEFT(_xlpm.v,1))&amp;MID(_xlpm.v,2,LEN(_xlpm.v)),UPPER(_xlpm.v))))))</f>
        <v>—</v>
      </c>
      <c r="I63" s="154" t="str">
        <f>IF(B63="","",_xlfn.LET(_xlpm.v,_xlfn.XLOOKUP(B63,Maestro!$I$11:$I$70,Maestro!$AR$11:$AR$70,"—"),IF(_xlpm.v="","—",IF(LEN(_xlpm.v)&gt;1,UPPER(LEFT(_xlpm.v,1))&amp;MID(_xlpm.v,2,LEN(_xlpm.v)),UPPER(_xlpm.v)))))</f>
        <v>—</v>
      </c>
      <c r="J63" s="154" t="str">
        <f>IF(B63="","",_xlfn.LET(_xlpm.v,_xlfn.XLOOKUP(B63,Maestro!$I$11:$I$70,Maestro!$BD$11:$BD$70,"—"),IF(_xlpm.v="","—",IF(LEN(_xlpm.v)&gt;1,UPPER(LEFT(_xlpm.v,1))&amp;MID(_xlpm.v,2,LEN(_xlpm.v)),UPPER(_xlpm.v)))))</f>
        <v>—</v>
      </c>
      <c r="K63" s="155" t="str">
        <f>IF(B63="","",_xlfn.LET(_xlpm.v,_xlfn.XLOOKUP(B63,Maestro!$I$11:$I$70,Maestro!$BP$11:$BP$70,"—"),IF(_xlpm.v="","—",IF(LEN(_xlpm.v)&gt;1,UPPER(LEFT(_xlpm.v,1))&amp;MID(_xlpm.v,2,LEN(_xlpm.v)),UPPER(_xlpm.v)))))</f>
        <v>—</v>
      </c>
      <c r="L63" s="155" t="str">
        <f t="shared" si="6"/>
        <v>✖ Pendiente</v>
      </c>
    </row>
    <row r="64" spans="2:12" x14ac:dyDescent="0.3">
      <c r="B64" s="163">
        <f>IF(Maestro!I40="","",Maestro!I40)</f>
        <v>91360</v>
      </c>
      <c r="C64" s="131" t="str">
        <f>IF(B64="","",_xlfn.LET(_xlpm.v,_xlfn.XLOOKUP(B64,Maestro!$I$11:$I$70,Maestro!$E$11:$E$70,"—"),IF(_xlpm.v="","—",_xlpm.v)))</f>
        <v>—</v>
      </c>
      <c r="D64" s="165" t="str">
        <f>IF(B64="","",SUBSTITUTE(_xlfn.XLOOKUP(B64,Maestro!$I$11:$I$70,Maestro!$C$11:$C$70,"—"),"Facultad de ",""))</f>
        <v/>
      </c>
      <c r="E64" s="134" t="str">
        <f>IF(B64="","",_xlfn.LET(_xlpm.v,_xlfn.XLOOKUP(B64,Maestro!$I$11:$I$70,Maestro!$F$11:$F$70,"—"),IF(_xlpm.v="","—",_xlpm.v)))</f>
        <v>—</v>
      </c>
      <c r="F64" s="134" t="str">
        <f>IF(B64="","",_xlfn.LET(_xlpm.v,_xlfn.XLOOKUP(B64,Maestro!$I$11:$I$70,Maestro!$R$11:$R$70,"—"),IF(_xlpm.v="","—",IF(LEN(_xlpm.v)&gt;1,UPPER(LEFT(_xlpm.v,1))&amp;MID(_xlpm.v,2,LEN(_xlpm.v)),UPPER(_xlpm.v)))))</f>
        <v>—</v>
      </c>
      <c r="G64" s="134" t="str">
        <f>IF(B64="","",_xlfn.LET(_xlpm.v,_xlfn.XLOOKUP(B64,Maestro!$I$11:$I$70,Maestro!$U$11:$U$70,"—"),IF(_xlpm.v="","—",IF(LEN(_xlpm.v)&gt;1,UPPER(LEFT(_xlpm.v,1))&amp;MID(_xlpm.v,2,LEN(_xlpm.v)),UPPER(_xlpm.v)))))</f>
        <v>—</v>
      </c>
      <c r="H64" s="134" t="str">
        <f>IF(B64="","",_xlfn.LET(_xlpm.v,_xlfn.XLOOKUP(B64,Maestro!$I$11:$I$70,Maestro!$AQ$11:$AQ$70,"—"),IF(ISNUMBER(_xlpm.v),TEXT(_xlpm.v,"0%"),IF(_xlpm.v="","—",IF(LEN(_xlpm.v)&gt;1,UPPER(LEFT(_xlpm.v,1))&amp;MID(_xlpm.v,2,LEN(_xlpm.v)),UPPER(_xlpm.v))))))</f>
        <v>—</v>
      </c>
      <c r="I64" s="134" t="str">
        <f>IF(B64="","",_xlfn.LET(_xlpm.v,_xlfn.XLOOKUP(B64,Maestro!$I$11:$I$70,Maestro!$AR$11:$AR$70,"—"),IF(_xlpm.v="","—",IF(LEN(_xlpm.v)&gt;1,UPPER(LEFT(_xlpm.v,1))&amp;MID(_xlpm.v,2,LEN(_xlpm.v)),UPPER(_xlpm.v)))))</f>
        <v>—</v>
      </c>
      <c r="J64" s="134" t="str">
        <f>IF(B64="","",_xlfn.LET(_xlpm.v,_xlfn.XLOOKUP(B64,Maestro!$I$11:$I$70,Maestro!$BD$11:$BD$70,"—"),IF(_xlpm.v="","—",IF(LEN(_xlpm.v)&gt;1,UPPER(LEFT(_xlpm.v,1))&amp;MID(_xlpm.v,2,LEN(_xlpm.v)),UPPER(_xlpm.v)))))</f>
        <v>—</v>
      </c>
      <c r="K64" s="135" t="str">
        <f>IF(B64="","",_xlfn.LET(_xlpm.v,_xlfn.XLOOKUP(B64,Maestro!$I$11:$I$70,Maestro!$BP$11:$BP$70,"—"),IF(_xlpm.v="","—",IF(LEN(_xlpm.v)&gt;1,UPPER(LEFT(_xlpm.v,1))&amp;MID(_xlpm.v,2,LEN(_xlpm.v)),UPPER(_xlpm.v)))))</f>
        <v>—</v>
      </c>
      <c r="L64" s="135" t="str">
        <f t="shared" si="6"/>
        <v>✖ Pendiente</v>
      </c>
    </row>
    <row r="65" spans="2:12" x14ac:dyDescent="0.3">
      <c r="B65" s="162">
        <f>IF(Maestro!I41="","",Maestro!I41)</f>
        <v>54726</v>
      </c>
      <c r="C65" s="153" t="str">
        <f>IF(B65="","",_xlfn.LET(_xlpm.v,_xlfn.XLOOKUP(B65,Maestro!$I$11:$I$70,Maestro!$E$11:$E$70,"—"),IF(_xlpm.v="","—",_xlpm.v)))</f>
        <v>—</v>
      </c>
      <c r="D65" s="164" t="str">
        <f>IF(B65="","",SUBSTITUTE(_xlfn.XLOOKUP(B65,Maestro!$I$11:$I$70,Maestro!$C$11:$C$70,"—"),"Facultad de ",""))</f>
        <v/>
      </c>
      <c r="E65" s="154" t="str">
        <f>IF(B65="","",_xlfn.LET(_xlpm.v,_xlfn.XLOOKUP(B65,Maestro!$I$11:$I$70,Maestro!$F$11:$F$70,"—"),IF(_xlpm.v="","—",_xlpm.v)))</f>
        <v>—</v>
      </c>
      <c r="F65" s="154" t="str">
        <f>IF(B65="","",_xlfn.LET(_xlpm.v,_xlfn.XLOOKUP(B65,Maestro!$I$11:$I$70,Maestro!$R$11:$R$70,"—"),IF(_xlpm.v="","—",IF(LEN(_xlpm.v)&gt;1,UPPER(LEFT(_xlpm.v,1))&amp;MID(_xlpm.v,2,LEN(_xlpm.v)),UPPER(_xlpm.v)))))</f>
        <v>—</v>
      </c>
      <c r="G65" s="154" t="str">
        <f>IF(B65="","",_xlfn.LET(_xlpm.v,_xlfn.XLOOKUP(B65,Maestro!$I$11:$I$70,Maestro!$U$11:$U$70,"—"),IF(_xlpm.v="","—",IF(LEN(_xlpm.v)&gt;1,UPPER(LEFT(_xlpm.v,1))&amp;MID(_xlpm.v,2,LEN(_xlpm.v)),UPPER(_xlpm.v)))))</f>
        <v>—</v>
      </c>
      <c r="H65" s="154" t="str">
        <f>IF(B65="","",_xlfn.LET(_xlpm.v,_xlfn.XLOOKUP(B65,Maestro!$I$11:$I$70,Maestro!$AQ$11:$AQ$70,"—"),IF(ISNUMBER(_xlpm.v),TEXT(_xlpm.v,"0%"),IF(_xlpm.v="","—",IF(LEN(_xlpm.v)&gt;1,UPPER(LEFT(_xlpm.v,1))&amp;MID(_xlpm.v,2,LEN(_xlpm.v)),UPPER(_xlpm.v))))))</f>
        <v>—</v>
      </c>
      <c r="I65" s="154" t="str">
        <f>IF(B65="","",_xlfn.LET(_xlpm.v,_xlfn.XLOOKUP(B65,Maestro!$I$11:$I$70,Maestro!$AR$11:$AR$70,"—"),IF(_xlpm.v="","—",IF(LEN(_xlpm.v)&gt;1,UPPER(LEFT(_xlpm.v,1))&amp;MID(_xlpm.v,2,LEN(_xlpm.v)),UPPER(_xlpm.v)))))</f>
        <v>—</v>
      </c>
      <c r="J65" s="154" t="str">
        <f>IF(B65="","",_xlfn.LET(_xlpm.v,_xlfn.XLOOKUP(B65,Maestro!$I$11:$I$70,Maestro!$BD$11:$BD$70,"—"),IF(_xlpm.v="","—",IF(LEN(_xlpm.v)&gt;1,UPPER(LEFT(_xlpm.v,1))&amp;MID(_xlpm.v,2,LEN(_xlpm.v)),UPPER(_xlpm.v)))))</f>
        <v>—</v>
      </c>
      <c r="K65" s="155" t="str">
        <f>IF(B65="","",_xlfn.LET(_xlpm.v,_xlfn.XLOOKUP(B65,Maestro!$I$11:$I$70,Maestro!$BP$11:$BP$70,"—"),IF(_xlpm.v="","—",IF(LEN(_xlpm.v)&gt;1,UPPER(LEFT(_xlpm.v,1))&amp;MID(_xlpm.v,2,LEN(_xlpm.v)),UPPER(_xlpm.v)))))</f>
        <v>—</v>
      </c>
      <c r="L65" s="155" t="str">
        <f t="shared" si="6"/>
        <v>✖ Pendiente</v>
      </c>
    </row>
    <row r="66" spans="2:12" x14ac:dyDescent="0.3">
      <c r="B66" s="163">
        <f>IF(Maestro!I42="","",Maestro!I42)</f>
        <v>110697</v>
      </c>
      <c r="C66" s="131" t="str">
        <f>IF(B66="","",_xlfn.LET(_xlpm.v,_xlfn.XLOOKUP(B66,Maestro!$I$11:$I$70,Maestro!$E$11:$E$70,"—"),IF(_xlpm.v="","—",_xlpm.v)))</f>
        <v>—</v>
      </c>
      <c r="D66" s="165" t="str">
        <f>IF(B66="","",SUBSTITUTE(_xlfn.XLOOKUP(B66,Maestro!$I$11:$I$70,Maestro!$C$11:$C$70,"—"),"Facultad de ",""))</f>
        <v/>
      </c>
      <c r="E66" s="134" t="str">
        <f>IF(B66="","",_xlfn.LET(_xlpm.v,_xlfn.XLOOKUP(B66,Maestro!$I$11:$I$70,Maestro!$F$11:$F$70,"—"),IF(_xlpm.v="","—",_xlpm.v)))</f>
        <v>—</v>
      </c>
      <c r="F66" s="134" t="str">
        <f>IF(B66="","",_xlfn.LET(_xlpm.v,_xlfn.XLOOKUP(B66,Maestro!$I$11:$I$70,Maestro!$R$11:$R$70,"—"),IF(_xlpm.v="","—",IF(LEN(_xlpm.v)&gt;1,UPPER(LEFT(_xlpm.v,1))&amp;MID(_xlpm.v,2,LEN(_xlpm.v)),UPPER(_xlpm.v)))))</f>
        <v>—</v>
      </c>
      <c r="G66" s="134" t="str">
        <f>IF(B66="","",_xlfn.LET(_xlpm.v,_xlfn.XLOOKUP(B66,Maestro!$I$11:$I$70,Maestro!$U$11:$U$70,"—"),IF(_xlpm.v="","—",IF(LEN(_xlpm.v)&gt;1,UPPER(LEFT(_xlpm.v,1))&amp;MID(_xlpm.v,2,LEN(_xlpm.v)),UPPER(_xlpm.v)))))</f>
        <v>—</v>
      </c>
      <c r="H66" s="134" t="str">
        <f>IF(B66="","",_xlfn.LET(_xlpm.v,_xlfn.XLOOKUP(B66,Maestro!$I$11:$I$70,Maestro!$AQ$11:$AQ$70,"—"),IF(ISNUMBER(_xlpm.v),TEXT(_xlpm.v,"0%"),IF(_xlpm.v="","—",IF(LEN(_xlpm.v)&gt;1,UPPER(LEFT(_xlpm.v,1))&amp;MID(_xlpm.v,2,LEN(_xlpm.v)),UPPER(_xlpm.v))))))</f>
        <v>—</v>
      </c>
      <c r="I66" s="134" t="str">
        <f>IF(B66="","",_xlfn.LET(_xlpm.v,_xlfn.XLOOKUP(B66,Maestro!$I$11:$I$70,Maestro!$AR$11:$AR$70,"—"),IF(_xlpm.v="","—",IF(LEN(_xlpm.v)&gt;1,UPPER(LEFT(_xlpm.v,1))&amp;MID(_xlpm.v,2,LEN(_xlpm.v)),UPPER(_xlpm.v)))))</f>
        <v>—</v>
      </c>
      <c r="J66" s="134" t="str">
        <f>IF(B66="","",_xlfn.LET(_xlpm.v,_xlfn.XLOOKUP(B66,Maestro!$I$11:$I$70,Maestro!$BD$11:$BD$70,"—"),IF(_xlpm.v="","—",IF(LEN(_xlpm.v)&gt;1,UPPER(LEFT(_xlpm.v,1))&amp;MID(_xlpm.v,2,LEN(_xlpm.v)),UPPER(_xlpm.v)))))</f>
        <v>—</v>
      </c>
      <c r="K66" s="135" t="str">
        <f>IF(B66="","",_xlfn.LET(_xlpm.v,_xlfn.XLOOKUP(B66,Maestro!$I$11:$I$70,Maestro!$BP$11:$BP$70,"—"),IF(_xlpm.v="","—",IF(LEN(_xlpm.v)&gt;1,UPPER(LEFT(_xlpm.v,1))&amp;MID(_xlpm.v,2,LEN(_xlpm.v)),UPPER(_xlpm.v)))))</f>
        <v>—</v>
      </c>
      <c r="L66" s="135" t="str">
        <f t="shared" si="6"/>
        <v>✖ Pendiente</v>
      </c>
    </row>
    <row r="67" spans="2:12" x14ac:dyDescent="0.3">
      <c r="B67" s="162">
        <f>IF(Maestro!I43="","",Maestro!I43)</f>
        <v>103640</v>
      </c>
      <c r="C67" s="153" t="str">
        <f>IF(B67="","",_xlfn.LET(_xlpm.v,_xlfn.XLOOKUP(B67,Maestro!$I$11:$I$70,Maestro!$E$11:$E$70,"—"),IF(_xlpm.v="","—",_xlpm.v)))</f>
        <v>—</v>
      </c>
      <c r="D67" s="164" t="str">
        <f>IF(B67="","",SUBSTITUTE(_xlfn.XLOOKUP(B67,Maestro!$I$11:$I$70,Maestro!$C$11:$C$70,"—"),"Facultad de ",""))</f>
        <v/>
      </c>
      <c r="E67" s="154" t="str">
        <f>IF(B67="","",_xlfn.LET(_xlpm.v,_xlfn.XLOOKUP(B67,Maestro!$I$11:$I$70,Maestro!$F$11:$F$70,"—"),IF(_xlpm.v="","—",_xlpm.v)))</f>
        <v>—</v>
      </c>
      <c r="F67" s="154" t="str">
        <f>IF(B67="","",_xlfn.LET(_xlpm.v,_xlfn.XLOOKUP(B67,Maestro!$I$11:$I$70,Maestro!$R$11:$R$70,"—"),IF(_xlpm.v="","—",IF(LEN(_xlpm.v)&gt;1,UPPER(LEFT(_xlpm.v,1))&amp;MID(_xlpm.v,2,LEN(_xlpm.v)),UPPER(_xlpm.v)))))</f>
        <v>—</v>
      </c>
      <c r="G67" s="154" t="str">
        <f>IF(B67="","",_xlfn.LET(_xlpm.v,_xlfn.XLOOKUP(B67,Maestro!$I$11:$I$70,Maestro!$U$11:$U$70,"—"),IF(_xlpm.v="","—",IF(LEN(_xlpm.v)&gt;1,UPPER(LEFT(_xlpm.v,1))&amp;MID(_xlpm.v,2,LEN(_xlpm.v)),UPPER(_xlpm.v)))))</f>
        <v>—</v>
      </c>
      <c r="H67" s="154" t="str">
        <f>IF(B67="","",_xlfn.LET(_xlpm.v,_xlfn.XLOOKUP(B67,Maestro!$I$11:$I$70,Maestro!$AQ$11:$AQ$70,"—"),IF(ISNUMBER(_xlpm.v),TEXT(_xlpm.v,"0%"),IF(_xlpm.v="","—",IF(LEN(_xlpm.v)&gt;1,UPPER(LEFT(_xlpm.v,1))&amp;MID(_xlpm.v,2,LEN(_xlpm.v)),UPPER(_xlpm.v))))))</f>
        <v>—</v>
      </c>
      <c r="I67" s="154" t="str">
        <f>IF(B67="","",_xlfn.LET(_xlpm.v,_xlfn.XLOOKUP(B67,Maestro!$I$11:$I$70,Maestro!$AR$11:$AR$70,"—"),IF(_xlpm.v="","—",IF(LEN(_xlpm.v)&gt;1,UPPER(LEFT(_xlpm.v,1))&amp;MID(_xlpm.v,2,LEN(_xlpm.v)),UPPER(_xlpm.v)))))</f>
        <v>—</v>
      </c>
      <c r="J67" s="154" t="str">
        <f>IF(B67="","",_xlfn.LET(_xlpm.v,_xlfn.XLOOKUP(B67,Maestro!$I$11:$I$70,Maestro!$BD$11:$BD$70,"—"),IF(_xlpm.v="","—",IF(LEN(_xlpm.v)&gt;1,UPPER(LEFT(_xlpm.v,1))&amp;MID(_xlpm.v,2,LEN(_xlpm.v)),UPPER(_xlpm.v)))))</f>
        <v>—</v>
      </c>
      <c r="K67" s="155" t="str">
        <f>IF(B67="","",_xlfn.LET(_xlpm.v,_xlfn.XLOOKUP(B67,Maestro!$I$11:$I$70,Maestro!$BP$11:$BP$70,"—"),IF(_xlpm.v="","—",IF(LEN(_xlpm.v)&gt;1,UPPER(LEFT(_xlpm.v,1))&amp;MID(_xlpm.v,2,LEN(_xlpm.v)),UPPER(_xlpm.v)))))</f>
        <v>—</v>
      </c>
      <c r="L67" s="155" t="str">
        <f t="shared" si="6"/>
        <v>✖ Pendiente</v>
      </c>
    </row>
    <row r="68" spans="2:12" x14ac:dyDescent="0.3">
      <c r="B68" s="163">
        <f>IF(Maestro!I44="","",Maestro!I44)</f>
        <v>3209</v>
      </c>
      <c r="C68" s="131" t="str">
        <f>IF(B68="","",_xlfn.LET(_xlpm.v,_xlfn.XLOOKUP(B68,Maestro!$I$11:$I$70,Maestro!$E$11:$E$70,"—"),IF(_xlpm.v="","—",_xlpm.v)))</f>
        <v>—</v>
      </c>
      <c r="D68" s="165" t="str">
        <f>IF(B68="","",SUBSTITUTE(_xlfn.XLOOKUP(B68,Maestro!$I$11:$I$70,Maestro!$C$11:$C$70,"—"),"Facultad de ",""))</f>
        <v/>
      </c>
      <c r="E68" s="134" t="str">
        <f>IF(B68="","",_xlfn.LET(_xlpm.v,_xlfn.XLOOKUP(B68,Maestro!$I$11:$I$70,Maestro!$F$11:$F$70,"—"),IF(_xlpm.v="","—",_xlpm.v)))</f>
        <v>—</v>
      </c>
      <c r="F68" s="134" t="str">
        <f>IF(B68="","",_xlfn.LET(_xlpm.v,_xlfn.XLOOKUP(B68,Maestro!$I$11:$I$70,Maestro!$R$11:$R$70,"—"),IF(_xlpm.v="","—",IF(LEN(_xlpm.v)&gt;1,UPPER(LEFT(_xlpm.v,1))&amp;MID(_xlpm.v,2,LEN(_xlpm.v)),UPPER(_xlpm.v)))))</f>
        <v>—</v>
      </c>
      <c r="G68" s="134" t="str">
        <f>IF(B68="","",_xlfn.LET(_xlpm.v,_xlfn.XLOOKUP(B68,Maestro!$I$11:$I$70,Maestro!$U$11:$U$70,"—"),IF(_xlpm.v="","—",IF(LEN(_xlpm.v)&gt;1,UPPER(LEFT(_xlpm.v,1))&amp;MID(_xlpm.v,2,LEN(_xlpm.v)),UPPER(_xlpm.v)))))</f>
        <v>—</v>
      </c>
      <c r="H68" s="134" t="str">
        <f>IF(B68="","",_xlfn.LET(_xlpm.v,_xlfn.XLOOKUP(B68,Maestro!$I$11:$I$70,Maestro!$AQ$11:$AQ$70,"—"),IF(ISNUMBER(_xlpm.v),TEXT(_xlpm.v,"0%"),IF(_xlpm.v="","—",IF(LEN(_xlpm.v)&gt;1,UPPER(LEFT(_xlpm.v,1))&amp;MID(_xlpm.v,2,LEN(_xlpm.v)),UPPER(_xlpm.v))))))</f>
        <v>—</v>
      </c>
      <c r="I68" s="134" t="str">
        <f>IF(B68="","",_xlfn.LET(_xlpm.v,_xlfn.XLOOKUP(B68,Maestro!$I$11:$I$70,Maestro!$AR$11:$AR$70,"—"),IF(_xlpm.v="","—",IF(LEN(_xlpm.v)&gt;1,UPPER(LEFT(_xlpm.v,1))&amp;MID(_xlpm.v,2,LEN(_xlpm.v)),UPPER(_xlpm.v)))))</f>
        <v>—</v>
      </c>
      <c r="J68" s="134" t="str">
        <f>IF(B68="","",_xlfn.LET(_xlpm.v,_xlfn.XLOOKUP(B68,Maestro!$I$11:$I$70,Maestro!$BD$11:$BD$70,"—"),IF(_xlpm.v="","—",IF(LEN(_xlpm.v)&gt;1,UPPER(LEFT(_xlpm.v,1))&amp;MID(_xlpm.v,2,LEN(_xlpm.v)),UPPER(_xlpm.v)))))</f>
        <v>—</v>
      </c>
      <c r="K68" s="135" t="str">
        <f>IF(B68="","",_xlfn.LET(_xlpm.v,_xlfn.XLOOKUP(B68,Maestro!$I$11:$I$70,Maestro!$BP$11:$BP$70,"—"),IF(_xlpm.v="","—",IF(LEN(_xlpm.v)&gt;1,UPPER(LEFT(_xlpm.v,1))&amp;MID(_xlpm.v,2,LEN(_xlpm.v)),UPPER(_xlpm.v)))))</f>
        <v>—</v>
      </c>
      <c r="L68" s="135" t="str">
        <f t="shared" si="6"/>
        <v>✖ Pendiente</v>
      </c>
    </row>
    <row r="69" spans="2:12" x14ac:dyDescent="0.3">
      <c r="B69" s="162">
        <f>IF(Maestro!I45="","",Maestro!I45)</f>
        <v>1894</v>
      </c>
      <c r="C69" s="153" t="str">
        <f>IF(B69="","",_xlfn.LET(_xlpm.v,_xlfn.XLOOKUP(B69,Maestro!$I$11:$I$70,Maestro!$E$11:$E$70,"—"),IF(_xlpm.v="","—",_xlpm.v)))</f>
        <v>—</v>
      </c>
      <c r="D69" s="164" t="str">
        <f>IF(B69="","",SUBSTITUTE(_xlfn.XLOOKUP(B69,Maestro!$I$11:$I$70,Maestro!$C$11:$C$70,"—"),"Facultad de ",""))</f>
        <v/>
      </c>
      <c r="E69" s="154" t="str">
        <f>IF(B69="","",_xlfn.LET(_xlpm.v,_xlfn.XLOOKUP(B69,Maestro!$I$11:$I$70,Maestro!$F$11:$F$70,"—"),IF(_xlpm.v="","—",_xlpm.v)))</f>
        <v>—</v>
      </c>
      <c r="F69" s="154" t="str">
        <f>IF(B69="","",_xlfn.LET(_xlpm.v,_xlfn.XLOOKUP(B69,Maestro!$I$11:$I$70,Maestro!$R$11:$R$70,"—"),IF(_xlpm.v="","—",IF(LEN(_xlpm.v)&gt;1,UPPER(LEFT(_xlpm.v,1))&amp;MID(_xlpm.v,2,LEN(_xlpm.v)),UPPER(_xlpm.v)))))</f>
        <v>—</v>
      </c>
      <c r="G69" s="154" t="str">
        <f>IF(B69="","",_xlfn.LET(_xlpm.v,_xlfn.XLOOKUP(B69,Maestro!$I$11:$I$70,Maestro!$U$11:$U$70,"—"),IF(_xlpm.v="","—",IF(LEN(_xlpm.v)&gt;1,UPPER(LEFT(_xlpm.v,1))&amp;MID(_xlpm.v,2,LEN(_xlpm.v)),UPPER(_xlpm.v)))))</f>
        <v>—</v>
      </c>
      <c r="H69" s="154" t="str">
        <f>IF(B69="","",_xlfn.LET(_xlpm.v,_xlfn.XLOOKUP(B69,Maestro!$I$11:$I$70,Maestro!$AQ$11:$AQ$70,"—"),IF(ISNUMBER(_xlpm.v),TEXT(_xlpm.v,"0%"),IF(_xlpm.v="","—",IF(LEN(_xlpm.v)&gt;1,UPPER(LEFT(_xlpm.v,1))&amp;MID(_xlpm.v,2,LEN(_xlpm.v)),UPPER(_xlpm.v))))))</f>
        <v>—</v>
      </c>
      <c r="I69" s="154" t="str">
        <f>IF(B69="","",_xlfn.LET(_xlpm.v,_xlfn.XLOOKUP(B69,Maestro!$I$11:$I$70,Maestro!$AR$11:$AR$70,"—"),IF(_xlpm.v="","—",IF(LEN(_xlpm.v)&gt;1,UPPER(LEFT(_xlpm.v,1))&amp;MID(_xlpm.v,2,LEN(_xlpm.v)),UPPER(_xlpm.v)))))</f>
        <v>—</v>
      </c>
      <c r="J69" s="154" t="str">
        <f>IF(B69="","",_xlfn.LET(_xlpm.v,_xlfn.XLOOKUP(B69,Maestro!$I$11:$I$70,Maestro!$BD$11:$BD$70,"—"),IF(_xlpm.v="","—",IF(LEN(_xlpm.v)&gt;1,UPPER(LEFT(_xlpm.v,1))&amp;MID(_xlpm.v,2,LEN(_xlpm.v)),UPPER(_xlpm.v)))))</f>
        <v>—</v>
      </c>
      <c r="K69" s="155" t="str">
        <f>IF(B69="","",_xlfn.LET(_xlpm.v,_xlfn.XLOOKUP(B69,Maestro!$I$11:$I$70,Maestro!$BP$11:$BP$70,"—"),IF(_xlpm.v="","—",IF(LEN(_xlpm.v)&gt;1,UPPER(LEFT(_xlpm.v,1))&amp;MID(_xlpm.v,2,LEN(_xlpm.v)),UPPER(_xlpm.v)))))</f>
        <v>—</v>
      </c>
      <c r="L69" s="155" t="str">
        <f t="shared" si="6"/>
        <v>✖ Pendiente</v>
      </c>
    </row>
    <row r="70" spans="2:12" x14ac:dyDescent="0.3">
      <c r="B70" s="163">
        <f>IF(Maestro!I46="","",Maestro!I46)</f>
        <v>53632</v>
      </c>
      <c r="C70" s="131" t="str">
        <f>IF(B70="","",_xlfn.LET(_xlpm.v,_xlfn.XLOOKUP(B70,Maestro!$I$11:$I$70,Maestro!$E$11:$E$70,"—"),IF(_xlpm.v="","—",_xlpm.v)))</f>
        <v>—</v>
      </c>
      <c r="D70" s="165" t="str">
        <f>IF(B70="","",SUBSTITUTE(_xlfn.XLOOKUP(B70,Maestro!$I$11:$I$70,Maestro!$C$11:$C$70,"—"),"Facultad de ",""))</f>
        <v/>
      </c>
      <c r="E70" s="134" t="str">
        <f>IF(B70="","",_xlfn.LET(_xlpm.v,_xlfn.XLOOKUP(B70,Maestro!$I$11:$I$70,Maestro!$F$11:$F$70,"—"),IF(_xlpm.v="","—",_xlpm.v)))</f>
        <v>—</v>
      </c>
      <c r="F70" s="134" t="str">
        <f>IF(B70="","",_xlfn.LET(_xlpm.v,_xlfn.XLOOKUP(B70,Maestro!$I$11:$I$70,Maestro!$R$11:$R$70,"—"),IF(_xlpm.v="","—",IF(LEN(_xlpm.v)&gt;1,UPPER(LEFT(_xlpm.v,1))&amp;MID(_xlpm.v,2,LEN(_xlpm.v)),UPPER(_xlpm.v)))))</f>
        <v>—</v>
      </c>
      <c r="G70" s="134" t="str">
        <f>IF(B70="","",_xlfn.LET(_xlpm.v,_xlfn.XLOOKUP(B70,Maestro!$I$11:$I$70,Maestro!$U$11:$U$70,"—"),IF(_xlpm.v="","—",IF(LEN(_xlpm.v)&gt;1,UPPER(LEFT(_xlpm.v,1))&amp;MID(_xlpm.v,2,LEN(_xlpm.v)),UPPER(_xlpm.v)))))</f>
        <v>—</v>
      </c>
      <c r="H70" s="134" t="str">
        <f>IF(B70="","",_xlfn.LET(_xlpm.v,_xlfn.XLOOKUP(B70,Maestro!$I$11:$I$70,Maestro!$AQ$11:$AQ$70,"—"),IF(ISNUMBER(_xlpm.v),TEXT(_xlpm.v,"0%"),IF(_xlpm.v="","—",IF(LEN(_xlpm.v)&gt;1,UPPER(LEFT(_xlpm.v,1))&amp;MID(_xlpm.v,2,LEN(_xlpm.v)),UPPER(_xlpm.v))))))</f>
        <v>—</v>
      </c>
      <c r="I70" s="134" t="str">
        <f>IF(B70="","",_xlfn.LET(_xlpm.v,_xlfn.XLOOKUP(B70,Maestro!$I$11:$I$70,Maestro!$AR$11:$AR$70,"—"),IF(_xlpm.v="","—",IF(LEN(_xlpm.v)&gt;1,UPPER(LEFT(_xlpm.v,1))&amp;MID(_xlpm.v,2,LEN(_xlpm.v)),UPPER(_xlpm.v)))))</f>
        <v>—</v>
      </c>
      <c r="J70" s="134" t="str">
        <f>IF(B70="","",_xlfn.LET(_xlpm.v,_xlfn.XLOOKUP(B70,Maestro!$I$11:$I$70,Maestro!$BD$11:$BD$70,"—"),IF(_xlpm.v="","—",IF(LEN(_xlpm.v)&gt;1,UPPER(LEFT(_xlpm.v,1))&amp;MID(_xlpm.v,2,LEN(_xlpm.v)),UPPER(_xlpm.v)))))</f>
        <v>—</v>
      </c>
      <c r="K70" s="135" t="str">
        <f>IF(B70="","",_xlfn.LET(_xlpm.v,_xlfn.XLOOKUP(B70,Maestro!$I$11:$I$70,Maestro!$BP$11:$BP$70,"—"),IF(_xlpm.v="","—",IF(LEN(_xlpm.v)&gt;1,UPPER(LEFT(_xlpm.v,1))&amp;MID(_xlpm.v,2,LEN(_xlpm.v)),UPPER(_xlpm.v)))))</f>
        <v>—</v>
      </c>
      <c r="L70" s="135" t="str">
        <f t="shared" si="6"/>
        <v>✖ Pendiente</v>
      </c>
    </row>
    <row r="71" spans="2:12" x14ac:dyDescent="0.3">
      <c r="B71" s="162">
        <f>IF(Maestro!I47="","",Maestro!I47)</f>
        <v>110267</v>
      </c>
      <c r="C71" s="153" t="str">
        <f>IF(B71="","",_xlfn.LET(_xlpm.v,_xlfn.XLOOKUP(B71,Maestro!$I$11:$I$70,Maestro!$E$11:$E$70,"—"),IF(_xlpm.v="","—",_xlpm.v)))</f>
        <v>—</v>
      </c>
      <c r="D71" s="164" t="str">
        <f>IF(B71="","",SUBSTITUTE(_xlfn.XLOOKUP(B71,Maestro!$I$11:$I$70,Maestro!$C$11:$C$70,"—"),"Facultad de ",""))</f>
        <v/>
      </c>
      <c r="E71" s="154" t="str">
        <f>IF(B71="","",_xlfn.LET(_xlpm.v,_xlfn.XLOOKUP(B71,Maestro!$I$11:$I$70,Maestro!$F$11:$F$70,"—"),IF(_xlpm.v="","—",_xlpm.v)))</f>
        <v>—</v>
      </c>
      <c r="F71" s="154" t="str">
        <f>IF(B71="","",_xlfn.LET(_xlpm.v,_xlfn.XLOOKUP(B71,Maestro!$I$11:$I$70,Maestro!$R$11:$R$70,"—"),IF(_xlpm.v="","—",IF(LEN(_xlpm.v)&gt;1,UPPER(LEFT(_xlpm.v,1))&amp;MID(_xlpm.v,2,LEN(_xlpm.v)),UPPER(_xlpm.v)))))</f>
        <v>—</v>
      </c>
      <c r="G71" s="154" t="str">
        <f>IF(B71="","",_xlfn.LET(_xlpm.v,_xlfn.XLOOKUP(B71,Maestro!$I$11:$I$70,Maestro!$U$11:$U$70,"—"),IF(_xlpm.v="","—",IF(LEN(_xlpm.v)&gt;1,UPPER(LEFT(_xlpm.v,1))&amp;MID(_xlpm.v,2,LEN(_xlpm.v)),UPPER(_xlpm.v)))))</f>
        <v>—</v>
      </c>
      <c r="H71" s="154" t="str">
        <f>IF(B71="","",_xlfn.LET(_xlpm.v,_xlfn.XLOOKUP(B71,Maestro!$I$11:$I$70,Maestro!$AQ$11:$AQ$70,"—"),IF(ISNUMBER(_xlpm.v),TEXT(_xlpm.v,"0%"),IF(_xlpm.v="","—",IF(LEN(_xlpm.v)&gt;1,UPPER(LEFT(_xlpm.v,1))&amp;MID(_xlpm.v,2,LEN(_xlpm.v)),UPPER(_xlpm.v))))))</f>
        <v>—</v>
      </c>
      <c r="I71" s="154" t="str">
        <f>IF(B71="","",_xlfn.LET(_xlpm.v,_xlfn.XLOOKUP(B71,Maestro!$I$11:$I$70,Maestro!$AR$11:$AR$70,"—"),IF(_xlpm.v="","—",IF(LEN(_xlpm.v)&gt;1,UPPER(LEFT(_xlpm.v,1))&amp;MID(_xlpm.v,2,LEN(_xlpm.v)),UPPER(_xlpm.v)))))</f>
        <v>—</v>
      </c>
      <c r="J71" s="154" t="str">
        <f>IF(B71="","",_xlfn.LET(_xlpm.v,_xlfn.XLOOKUP(B71,Maestro!$I$11:$I$70,Maestro!$BD$11:$BD$70,"—"),IF(_xlpm.v="","—",IF(LEN(_xlpm.v)&gt;1,UPPER(LEFT(_xlpm.v,1))&amp;MID(_xlpm.v,2,LEN(_xlpm.v)),UPPER(_xlpm.v)))))</f>
        <v>—</v>
      </c>
      <c r="K71" s="155" t="str">
        <f>IF(B71="","",_xlfn.LET(_xlpm.v,_xlfn.XLOOKUP(B71,Maestro!$I$11:$I$70,Maestro!$BP$11:$BP$70,"—"),IF(_xlpm.v="","—",IF(LEN(_xlpm.v)&gt;1,UPPER(LEFT(_xlpm.v,1))&amp;MID(_xlpm.v,2,LEN(_xlpm.v)),UPPER(_xlpm.v)))))</f>
        <v>—</v>
      </c>
      <c r="L71" s="155" t="str">
        <f t="shared" si="6"/>
        <v>✖ Pendiente</v>
      </c>
    </row>
    <row r="72" spans="2:12" x14ac:dyDescent="0.3">
      <c r="B72" s="163">
        <f>IF(Maestro!I48="","",Maestro!I48)</f>
        <v>102633</v>
      </c>
      <c r="C72" s="131" t="str">
        <f>IF(B72="","",_xlfn.LET(_xlpm.v,_xlfn.XLOOKUP(B72,Maestro!$I$11:$I$70,Maestro!$E$11:$E$70,"—"),IF(_xlpm.v="","—",_xlpm.v)))</f>
        <v>—</v>
      </c>
      <c r="D72" s="165" t="str">
        <f>IF(B72="","",SUBSTITUTE(_xlfn.XLOOKUP(B72,Maestro!$I$11:$I$70,Maestro!$C$11:$C$70,"—"),"Facultad de ",""))</f>
        <v/>
      </c>
      <c r="E72" s="134" t="str">
        <f>IF(B72="","",_xlfn.LET(_xlpm.v,_xlfn.XLOOKUP(B72,Maestro!$I$11:$I$70,Maestro!$F$11:$F$70,"—"),IF(_xlpm.v="","—",_xlpm.v)))</f>
        <v>—</v>
      </c>
      <c r="F72" s="134" t="str">
        <f>IF(B72="","",_xlfn.LET(_xlpm.v,_xlfn.XLOOKUP(B72,Maestro!$I$11:$I$70,Maestro!$R$11:$R$70,"—"),IF(_xlpm.v="","—",IF(LEN(_xlpm.v)&gt;1,UPPER(LEFT(_xlpm.v,1))&amp;MID(_xlpm.v,2,LEN(_xlpm.v)),UPPER(_xlpm.v)))))</f>
        <v>—</v>
      </c>
      <c r="G72" s="134" t="str">
        <f>IF(B72="","",_xlfn.LET(_xlpm.v,_xlfn.XLOOKUP(B72,Maestro!$I$11:$I$70,Maestro!$U$11:$U$70,"—"),IF(_xlpm.v="","—",IF(LEN(_xlpm.v)&gt;1,UPPER(LEFT(_xlpm.v,1))&amp;MID(_xlpm.v,2,LEN(_xlpm.v)),UPPER(_xlpm.v)))))</f>
        <v>—</v>
      </c>
      <c r="H72" s="134" t="str">
        <f>IF(B72="","",_xlfn.LET(_xlpm.v,_xlfn.XLOOKUP(B72,Maestro!$I$11:$I$70,Maestro!$AQ$11:$AQ$70,"—"),IF(ISNUMBER(_xlpm.v),TEXT(_xlpm.v,"0%"),IF(_xlpm.v="","—",IF(LEN(_xlpm.v)&gt;1,UPPER(LEFT(_xlpm.v,1))&amp;MID(_xlpm.v,2,LEN(_xlpm.v)),UPPER(_xlpm.v))))))</f>
        <v>—</v>
      </c>
      <c r="I72" s="134" t="str">
        <f>IF(B72="","",_xlfn.LET(_xlpm.v,_xlfn.XLOOKUP(B72,Maestro!$I$11:$I$70,Maestro!$AR$11:$AR$70,"—"),IF(_xlpm.v="","—",IF(LEN(_xlpm.v)&gt;1,UPPER(LEFT(_xlpm.v,1))&amp;MID(_xlpm.v,2,LEN(_xlpm.v)),UPPER(_xlpm.v)))))</f>
        <v>—</v>
      </c>
      <c r="J72" s="134" t="str">
        <f>IF(B72="","",_xlfn.LET(_xlpm.v,_xlfn.XLOOKUP(B72,Maestro!$I$11:$I$70,Maestro!$BD$11:$BD$70,"—"),IF(_xlpm.v="","—",IF(LEN(_xlpm.v)&gt;1,UPPER(LEFT(_xlpm.v,1))&amp;MID(_xlpm.v,2,LEN(_xlpm.v)),UPPER(_xlpm.v)))))</f>
        <v>—</v>
      </c>
      <c r="K72" s="135" t="str">
        <f>IF(B72="","",_xlfn.LET(_xlpm.v,_xlfn.XLOOKUP(B72,Maestro!$I$11:$I$70,Maestro!$BP$11:$BP$70,"—"),IF(_xlpm.v="","—",IF(LEN(_xlpm.v)&gt;1,UPPER(LEFT(_xlpm.v,1))&amp;MID(_xlpm.v,2,LEN(_xlpm.v)),UPPER(_xlpm.v)))))</f>
        <v>—</v>
      </c>
      <c r="L72" s="135" t="str">
        <f t="shared" si="6"/>
        <v>✖ Pendiente</v>
      </c>
    </row>
    <row r="73" spans="2:12" x14ac:dyDescent="0.3">
      <c r="B73" s="162">
        <f>IF(Maestro!I49="","",Maestro!I49)</f>
        <v>102632</v>
      </c>
      <c r="C73" s="153" t="str">
        <f>IF(B73="","",_xlfn.LET(_xlpm.v,_xlfn.XLOOKUP(B73,Maestro!$I$11:$I$70,Maestro!$E$11:$E$70,"—"),IF(_xlpm.v="","—",_xlpm.v)))</f>
        <v>—</v>
      </c>
      <c r="D73" s="164" t="str">
        <f>IF(B73="","",SUBSTITUTE(_xlfn.XLOOKUP(B73,Maestro!$I$11:$I$70,Maestro!$C$11:$C$70,"—"),"Facultad de ",""))</f>
        <v/>
      </c>
      <c r="E73" s="154" t="str">
        <f>IF(B73="","",_xlfn.LET(_xlpm.v,_xlfn.XLOOKUP(B73,Maestro!$I$11:$I$70,Maestro!$F$11:$F$70,"—"),IF(_xlpm.v="","—",_xlpm.v)))</f>
        <v>—</v>
      </c>
      <c r="F73" s="154" t="str">
        <f>IF(B73="","",_xlfn.LET(_xlpm.v,_xlfn.XLOOKUP(B73,Maestro!$I$11:$I$70,Maestro!$R$11:$R$70,"—"),IF(_xlpm.v="","—",IF(LEN(_xlpm.v)&gt;1,UPPER(LEFT(_xlpm.v,1))&amp;MID(_xlpm.v,2,LEN(_xlpm.v)),UPPER(_xlpm.v)))))</f>
        <v>—</v>
      </c>
      <c r="G73" s="154" t="str">
        <f>IF(B73="","",_xlfn.LET(_xlpm.v,_xlfn.XLOOKUP(B73,Maestro!$I$11:$I$70,Maestro!$U$11:$U$70,"—"),IF(_xlpm.v="","—",IF(LEN(_xlpm.v)&gt;1,UPPER(LEFT(_xlpm.v,1))&amp;MID(_xlpm.v,2,LEN(_xlpm.v)),UPPER(_xlpm.v)))))</f>
        <v>—</v>
      </c>
      <c r="H73" s="154" t="str">
        <f>IF(B73="","",_xlfn.LET(_xlpm.v,_xlfn.XLOOKUP(B73,Maestro!$I$11:$I$70,Maestro!$AQ$11:$AQ$70,"—"),IF(ISNUMBER(_xlpm.v),TEXT(_xlpm.v,"0%"),IF(_xlpm.v="","—",IF(LEN(_xlpm.v)&gt;1,UPPER(LEFT(_xlpm.v,1))&amp;MID(_xlpm.v,2,LEN(_xlpm.v)),UPPER(_xlpm.v))))))</f>
        <v>—</v>
      </c>
      <c r="I73" s="154" t="str">
        <f>IF(B73="","",_xlfn.LET(_xlpm.v,_xlfn.XLOOKUP(B73,Maestro!$I$11:$I$70,Maestro!$AR$11:$AR$70,"—"),IF(_xlpm.v="","—",IF(LEN(_xlpm.v)&gt;1,UPPER(LEFT(_xlpm.v,1))&amp;MID(_xlpm.v,2,LEN(_xlpm.v)),UPPER(_xlpm.v)))))</f>
        <v>—</v>
      </c>
      <c r="J73" s="154" t="str">
        <f>IF(B73="","",_xlfn.LET(_xlpm.v,_xlfn.XLOOKUP(B73,Maestro!$I$11:$I$70,Maestro!$BD$11:$BD$70,"—"),IF(_xlpm.v="","—",IF(LEN(_xlpm.v)&gt;1,UPPER(LEFT(_xlpm.v,1))&amp;MID(_xlpm.v,2,LEN(_xlpm.v)),UPPER(_xlpm.v)))))</f>
        <v>—</v>
      </c>
      <c r="K73" s="155" t="str">
        <f>IF(B73="","",_xlfn.LET(_xlpm.v,_xlfn.XLOOKUP(B73,Maestro!$I$11:$I$70,Maestro!$BP$11:$BP$70,"—"),IF(_xlpm.v="","—",IF(LEN(_xlpm.v)&gt;1,UPPER(LEFT(_xlpm.v,1))&amp;MID(_xlpm.v,2,LEN(_xlpm.v)),UPPER(_xlpm.v)))))</f>
        <v>—</v>
      </c>
      <c r="L73" s="155" t="str">
        <f t="shared" si="6"/>
        <v>✖ Pendiente</v>
      </c>
    </row>
    <row r="74" spans="2:12" x14ac:dyDescent="0.3">
      <c r="B74" s="163">
        <f>IF(Maestro!I50="","",Maestro!I50)</f>
        <v>110043</v>
      </c>
      <c r="C74" s="131" t="str">
        <f>IF(B74="","",_xlfn.LET(_xlpm.v,_xlfn.XLOOKUP(B74,Maestro!$I$11:$I$70,Maestro!$E$11:$E$70,"—"),IF(_xlpm.v="","—",_xlpm.v)))</f>
        <v>—</v>
      </c>
      <c r="D74" s="165" t="str">
        <f>IF(B74="","",SUBSTITUTE(_xlfn.XLOOKUP(B74,Maestro!$I$11:$I$70,Maestro!$C$11:$C$70,"—"),"Facultad de ",""))</f>
        <v/>
      </c>
      <c r="E74" s="134" t="str">
        <f>IF(B74="","",_xlfn.LET(_xlpm.v,_xlfn.XLOOKUP(B74,Maestro!$I$11:$I$70,Maestro!$F$11:$F$70,"—"),IF(_xlpm.v="","—",_xlpm.v)))</f>
        <v>—</v>
      </c>
      <c r="F74" s="134" t="str">
        <f>IF(B74="","",_xlfn.LET(_xlpm.v,_xlfn.XLOOKUP(B74,Maestro!$I$11:$I$70,Maestro!$R$11:$R$70,"—"),IF(_xlpm.v="","—",IF(LEN(_xlpm.v)&gt;1,UPPER(LEFT(_xlpm.v,1))&amp;MID(_xlpm.v,2,LEN(_xlpm.v)),UPPER(_xlpm.v)))))</f>
        <v>—</v>
      </c>
      <c r="G74" s="134" t="str">
        <f>IF(B74="","",_xlfn.LET(_xlpm.v,_xlfn.XLOOKUP(B74,Maestro!$I$11:$I$70,Maestro!$U$11:$U$70,"—"),IF(_xlpm.v="","—",IF(LEN(_xlpm.v)&gt;1,UPPER(LEFT(_xlpm.v,1))&amp;MID(_xlpm.v,2,LEN(_xlpm.v)),UPPER(_xlpm.v)))))</f>
        <v>—</v>
      </c>
      <c r="H74" s="134" t="str">
        <f>IF(B74="","",_xlfn.LET(_xlpm.v,_xlfn.XLOOKUP(B74,Maestro!$I$11:$I$70,Maestro!$AQ$11:$AQ$70,"—"),IF(ISNUMBER(_xlpm.v),TEXT(_xlpm.v,"0%"),IF(_xlpm.v="","—",IF(LEN(_xlpm.v)&gt;1,UPPER(LEFT(_xlpm.v,1))&amp;MID(_xlpm.v,2,LEN(_xlpm.v)),UPPER(_xlpm.v))))))</f>
        <v>—</v>
      </c>
      <c r="I74" s="134" t="str">
        <f>IF(B74="","",_xlfn.LET(_xlpm.v,_xlfn.XLOOKUP(B74,Maestro!$I$11:$I$70,Maestro!$AR$11:$AR$70,"—"),IF(_xlpm.v="","—",IF(LEN(_xlpm.v)&gt;1,UPPER(LEFT(_xlpm.v,1))&amp;MID(_xlpm.v,2,LEN(_xlpm.v)),UPPER(_xlpm.v)))))</f>
        <v>—</v>
      </c>
      <c r="J74" s="134" t="str">
        <f>IF(B74="","",_xlfn.LET(_xlpm.v,_xlfn.XLOOKUP(B74,Maestro!$I$11:$I$70,Maestro!$BD$11:$BD$70,"—"),IF(_xlpm.v="","—",IF(LEN(_xlpm.v)&gt;1,UPPER(LEFT(_xlpm.v,1))&amp;MID(_xlpm.v,2,LEN(_xlpm.v)),UPPER(_xlpm.v)))))</f>
        <v>—</v>
      </c>
      <c r="K74" s="135" t="str">
        <f>IF(B74="","",_xlfn.LET(_xlpm.v,_xlfn.XLOOKUP(B74,Maestro!$I$11:$I$70,Maestro!$BP$11:$BP$70,"—"),IF(_xlpm.v="","—",IF(LEN(_xlpm.v)&gt;1,UPPER(LEFT(_xlpm.v,1))&amp;MID(_xlpm.v,2,LEN(_xlpm.v)),UPPER(_xlpm.v)))))</f>
        <v>—</v>
      </c>
      <c r="L74" s="135" t="str">
        <f t="shared" si="6"/>
        <v>✖ Pendiente</v>
      </c>
    </row>
    <row r="75" spans="2:12" x14ac:dyDescent="0.3">
      <c r="B75" s="162">
        <f>IF(Maestro!I51="","",Maestro!I51)</f>
        <v>16017</v>
      </c>
      <c r="C75" s="153" t="str">
        <f>IF(B75="","",_xlfn.LET(_xlpm.v,_xlfn.XLOOKUP(B75,Maestro!$I$11:$I$70,Maestro!$E$11:$E$70,"—"),IF(_xlpm.v="","—",_xlpm.v)))</f>
        <v>—</v>
      </c>
      <c r="D75" s="164" t="str">
        <f>IF(B75="","",SUBSTITUTE(_xlfn.XLOOKUP(B75,Maestro!$I$11:$I$70,Maestro!$C$11:$C$70,"—"),"Facultad de ",""))</f>
        <v/>
      </c>
      <c r="E75" s="154" t="str">
        <f>IF(B75="","",_xlfn.LET(_xlpm.v,_xlfn.XLOOKUP(B75,Maestro!$I$11:$I$70,Maestro!$F$11:$F$70,"—"),IF(_xlpm.v="","—",_xlpm.v)))</f>
        <v>—</v>
      </c>
      <c r="F75" s="154" t="str">
        <f>IF(B75="","",_xlfn.LET(_xlpm.v,_xlfn.XLOOKUP(B75,Maestro!$I$11:$I$70,Maestro!$R$11:$R$70,"—"),IF(_xlpm.v="","—",IF(LEN(_xlpm.v)&gt;1,UPPER(LEFT(_xlpm.v,1))&amp;MID(_xlpm.v,2,LEN(_xlpm.v)),UPPER(_xlpm.v)))))</f>
        <v>—</v>
      </c>
      <c r="G75" s="154" t="str">
        <f>IF(B75="","",_xlfn.LET(_xlpm.v,_xlfn.XLOOKUP(B75,Maestro!$I$11:$I$70,Maestro!$U$11:$U$70,"—"),IF(_xlpm.v="","—",IF(LEN(_xlpm.v)&gt;1,UPPER(LEFT(_xlpm.v,1))&amp;MID(_xlpm.v,2,LEN(_xlpm.v)),UPPER(_xlpm.v)))))</f>
        <v>—</v>
      </c>
      <c r="H75" s="154" t="str">
        <f>IF(B75="","",_xlfn.LET(_xlpm.v,_xlfn.XLOOKUP(B75,Maestro!$I$11:$I$70,Maestro!$AQ$11:$AQ$70,"—"),IF(ISNUMBER(_xlpm.v),TEXT(_xlpm.v,"0%"),IF(_xlpm.v="","—",IF(LEN(_xlpm.v)&gt;1,UPPER(LEFT(_xlpm.v,1))&amp;MID(_xlpm.v,2,LEN(_xlpm.v)),UPPER(_xlpm.v))))))</f>
        <v>—</v>
      </c>
      <c r="I75" s="154" t="str">
        <f>IF(B75="","",_xlfn.LET(_xlpm.v,_xlfn.XLOOKUP(B75,Maestro!$I$11:$I$70,Maestro!$AR$11:$AR$70,"—"),IF(_xlpm.v="","—",IF(LEN(_xlpm.v)&gt;1,UPPER(LEFT(_xlpm.v,1))&amp;MID(_xlpm.v,2,LEN(_xlpm.v)),UPPER(_xlpm.v)))))</f>
        <v>—</v>
      </c>
      <c r="J75" s="154" t="str">
        <f>IF(B75="","",_xlfn.LET(_xlpm.v,_xlfn.XLOOKUP(B75,Maestro!$I$11:$I$70,Maestro!$BD$11:$BD$70,"—"),IF(_xlpm.v="","—",IF(LEN(_xlpm.v)&gt;1,UPPER(LEFT(_xlpm.v,1))&amp;MID(_xlpm.v,2,LEN(_xlpm.v)),UPPER(_xlpm.v)))))</f>
        <v>—</v>
      </c>
      <c r="K75" s="155" t="str">
        <f>IF(B75="","",_xlfn.LET(_xlpm.v,_xlfn.XLOOKUP(B75,Maestro!$I$11:$I$70,Maestro!$BP$11:$BP$70,"—"),IF(_xlpm.v="","—",IF(LEN(_xlpm.v)&gt;1,UPPER(LEFT(_xlpm.v,1))&amp;MID(_xlpm.v,2,LEN(_xlpm.v)),UPPER(_xlpm.v)))))</f>
        <v>—</v>
      </c>
      <c r="L75" s="155" t="str">
        <f t="shared" si="6"/>
        <v>✖ Pendiente</v>
      </c>
    </row>
    <row r="76" spans="2:12" x14ac:dyDescent="0.3">
      <c r="B76" s="163">
        <f>IF(Maestro!I52="","",Maestro!I52)</f>
        <v>103752</v>
      </c>
      <c r="C76" s="131" t="str">
        <f>IF(B76="","",_xlfn.LET(_xlpm.v,_xlfn.XLOOKUP(B76,Maestro!$I$11:$I$70,Maestro!$E$11:$E$70,"—"),IF(_xlpm.v="","—",_xlpm.v)))</f>
        <v>—</v>
      </c>
      <c r="D76" s="165" t="str">
        <f>IF(B76="","",SUBSTITUTE(_xlfn.XLOOKUP(B76,Maestro!$I$11:$I$70,Maestro!$C$11:$C$70,"—"),"Facultad de ",""))</f>
        <v/>
      </c>
      <c r="E76" s="134" t="str">
        <f>IF(B76="","",_xlfn.LET(_xlpm.v,_xlfn.XLOOKUP(B76,Maestro!$I$11:$I$70,Maestro!$F$11:$F$70,"—"),IF(_xlpm.v="","—",_xlpm.v)))</f>
        <v>—</v>
      </c>
      <c r="F76" s="134" t="str">
        <f>IF(B76="","",_xlfn.LET(_xlpm.v,_xlfn.XLOOKUP(B76,Maestro!$I$11:$I$70,Maestro!$R$11:$R$70,"—"),IF(_xlpm.v="","—",IF(LEN(_xlpm.v)&gt;1,UPPER(LEFT(_xlpm.v,1))&amp;MID(_xlpm.v,2,LEN(_xlpm.v)),UPPER(_xlpm.v)))))</f>
        <v>—</v>
      </c>
      <c r="G76" s="134" t="str">
        <f>IF(B76="","",_xlfn.LET(_xlpm.v,_xlfn.XLOOKUP(B76,Maestro!$I$11:$I$70,Maestro!$U$11:$U$70,"—"),IF(_xlpm.v="","—",IF(LEN(_xlpm.v)&gt;1,UPPER(LEFT(_xlpm.v,1))&amp;MID(_xlpm.v,2,LEN(_xlpm.v)),UPPER(_xlpm.v)))))</f>
        <v>—</v>
      </c>
      <c r="H76" s="134" t="str">
        <f>IF(B76="","",_xlfn.LET(_xlpm.v,_xlfn.XLOOKUP(B76,Maestro!$I$11:$I$70,Maestro!$AQ$11:$AQ$70,"—"),IF(ISNUMBER(_xlpm.v),TEXT(_xlpm.v,"0%"),IF(_xlpm.v="","—",IF(LEN(_xlpm.v)&gt;1,UPPER(LEFT(_xlpm.v,1))&amp;MID(_xlpm.v,2,LEN(_xlpm.v)),UPPER(_xlpm.v))))))</f>
        <v>—</v>
      </c>
      <c r="I76" s="134" t="str">
        <f>IF(B76="","",_xlfn.LET(_xlpm.v,_xlfn.XLOOKUP(B76,Maestro!$I$11:$I$70,Maestro!$AR$11:$AR$70,"—"),IF(_xlpm.v="","—",IF(LEN(_xlpm.v)&gt;1,UPPER(LEFT(_xlpm.v,1))&amp;MID(_xlpm.v,2,LEN(_xlpm.v)),UPPER(_xlpm.v)))))</f>
        <v>—</v>
      </c>
      <c r="J76" s="134" t="str">
        <f>IF(B76="","",_xlfn.LET(_xlpm.v,_xlfn.XLOOKUP(B76,Maestro!$I$11:$I$70,Maestro!$BD$11:$BD$70,"—"),IF(_xlpm.v="","—",IF(LEN(_xlpm.v)&gt;1,UPPER(LEFT(_xlpm.v,1))&amp;MID(_xlpm.v,2,LEN(_xlpm.v)),UPPER(_xlpm.v)))))</f>
        <v>—</v>
      </c>
      <c r="K76" s="135" t="str">
        <f>IF(B76="","",_xlfn.LET(_xlpm.v,_xlfn.XLOOKUP(B76,Maestro!$I$11:$I$70,Maestro!$BP$11:$BP$70,"—"),IF(_xlpm.v="","—",IF(LEN(_xlpm.v)&gt;1,UPPER(LEFT(_xlpm.v,1))&amp;MID(_xlpm.v,2,LEN(_xlpm.v)),UPPER(_xlpm.v)))))</f>
        <v>—</v>
      </c>
      <c r="L76" s="135" t="str">
        <f t="shared" si="6"/>
        <v>✖ Pendiente</v>
      </c>
    </row>
    <row r="77" spans="2:12" x14ac:dyDescent="0.3">
      <c r="B77" s="162">
        <f>IF(Maestro!I53="","",Maestro!I53)</f>
        <v>110286</v>
      </c>
      <c r="C77" s="153" t="str">
        <f>IF(B77="","",_xlfn.LET(_xlpm.v,_xlfn.XLOOKUP(B77,Maestro!$I$11:$I$70,Maestro!$E$11:$E$70,"—"),IF(_xlpm.v="","—",_xlpm.v)))</f>
        <v>—</v>
      </c>
      <c r="D77" s="164" t="str">
        <f>IF(B77="","",SUBSTITUTE(_xlfn.XLOOKUP(B77,Maestro!$I$11:$I$70,Maestro!$C$11:$C$70,"—"),"Facultad de ",""))</f>
        <v/>
      </c>
      <c r="E77" s="154" t="str">
        <f>IF(B77="","",_xlfn.LET(_xlpm.v,_xlfn.XLOOKUP(B77,Maestro!$I$11:$I$70,Maestro!$F$11:$F$70,"—"),IF(_xlpm.v="","—",_xlpm.v)))</f>
        <v>—</v>
      </c>
      <c r="F77" s="154" t="str">
        <f>IF(B77="","",_xlfn.LET(_xlpm.v,_xlfn.XLOOKUP(B77,Maestro!$I$11:$I$70,Maestro!$R$11:$R$70,"—"),IF(_xlpm.v="","—",IF(LEN(_xlpm.v)&gt;1,UPPER(LEFT(_xlpm.v,1))&amp;MID(_xlpm.v,2,LEN(_xlpm.v)),UPPER(_xlpm.v)))))</f>
        <v>—</v>
      </c>
      <c r="G77" s="154" t="str">
        <f>IF(B77="","",_xlfn.LET(_xlpm.v,_xlfn.XLOOKUP(B77,Maestro!$I$11:$I$70,Maestro!$U$11:$U$70,"—"),IF(_xlpm.v="","—",IF(LEN(_xlpm.v)&gt;1,UPPER(LEFT(_xlpm.v,1))&amp;MID(_xlpm.v,2,LEN(_xlpm.v)),UPPER(_xlpm.v)))))</f>
        <v>—</v>
      </c>
      <c r="H77" s="154" t="str">
        <f>IF(B77="","",_xlfn.LET(_xlpm.v,_xlfn.XLOOKUP(B77,Maestro!$I$11:$I$70,Maestro!$AQ$11:$AQ$70,"—"),IF(ISNUMBER(_xlpm.v),TEXT(_xlpm.v,"0%"),IF(_xlpm.v="","—",IF(LEN(_xlpm.v)&gt;1,UPPER(LEFT(_xlpm.v,1))&amp;MID(_xlpm.v,2,LEN(_xlpm.v)),UPPER(_xlpm.v))))))</f>
        <v>—</v>
      </c>
      <c r="I77" s="154" t="str">
        <f>IF(B77="","",_xlfn.LET(_xlpm.v,_xlfn.XLOOKUP(B77,Maestro!$I$11:$I$70,Maestro!$AR$11:$AR$70,"—"),IF(_xlpm.v="","—",IF(LEN(_xlpm.v)&gt;1,UPPER(LEFT(_xlpm.v,1))&amp;MID(_xlpm.v,2,LEN(_xlpm.v)),UPPER(_xlpm.v)))))</f>
        <v>—</v>
      </c>
      <c r="J77" s="154" t="str">
        <f>IF(B77="","",_xlfn.LET(_xlpm.v,_xlfn.XLOOKUP(B77,Maestro!$I$11:$I$70,Maestro!$BD$11:$BD$70,"—"),IF(_xlpm.v="","—",IF(LEN(_xlpm.v)&gt;1,UPPER(LEFT(_xlpm.v,1))&amp;MID(_xlpm.v,2,LEN(_xlpm.v)),UPPER(_xlpm.v)))))</f>
        <v>—</v>
      </c>
      <c r="K77" s="155" t="str">
        <f>IF(B77="","",_xlfn.LET(_xlpm.v,_xlfn.XLOOKUP(B77,Maestro!$I$11:$I$70,Maestro!$BP$11:$BP$70,"—"),IF(_xlpm.v="","—",IF(LEN(_xlpm.v)&gt;1,UPPER(LEFT(_xlpm.v,1))&amp;MID(_xlpm.v,2,LEN(_xlpm.v)),UPPER(_xlpm.v)))))</f>
        <v>—</v>
      </c>
      <c r="L77" s="155" t="str">
        <f t="shared" si="6"/>
        <v>✖ Pendiente</v>
      </c>
    </row>
    <row r="78" spans="2:12" x14ac:dyDescent="0.3">
      <c r="B78" s="163">
        <f>IF(Maestro!I54="","",Maestro!I54)</f>
        <v>53237</v>
      </c>
      <c r="C78" s="131" t="str">
        <f>IF(B78="","",_xlfn.LET(_xlpm.v,_xlfn.XLOOKUP(B78,Maestro!$I$11:$I$70,Maestro!$E$11:$E$70,"—"),IF(_xlpm.v="","—",_xlpm.v)))</f>
        <v>—</v>
      </c>
      <c r="D78" s="165" t="str">
        <f>IF(B78="","",SUBSTITUTE(_xlfn.XLOOKUP(B78,Maestro!$I$11:$I$70,Maestro!$C$11:$C$70,"—"),"Facultad de ",""))</f>
        <v/>
      </c>
      <c r="E78" s="134" t="str">
        <f>IF(B78="","",_xlfn.LET(_xlpm.v,_xlfn.XLOOKUP(B78,Maestro!$I$11:$I$70,Maestro!$F$11:$F$70,"—"),IF(_xlpm.v="","—",_xlpm.v)))</f>
        <v>—</v>
      </c>
      <c r="F78" s="134" t="str">
        <f>IF(B78="","",_xlfn.LET(_xlpm.v,_xlfn.XLOOKUP(B78,Maestro!$I$11:$I$70,Maestro!$R$11:$R$70,"—"),IF(_xlpm.v="","—",IF(LEN(_xlpm.v)&gt;1,UPPER(LEFT(_xlpm.v,1))&amp;MID(_xlpm.v,2,LEN(_xlpm.v)),UPPER(_xlpm.v)))))</f>
        <v>—</v>
      </c>
      <c r="G78" s="134" t="str">
        <f>IF(B78="","",_xlfn.LET(_xlpm.v,_xlfn.XLOOKUP(B78,Maestro!$I$11:$I$70,Maestro!$U$11:$U$70,"—"),IF(_xlpm.v="","—",IF(LEN(_xlpm.v)&gt;1,UPPER(LEFT(_xlpm.v,1))&amp;MID(_xlpm.v,2,LEN(_xlpm.v)),UPPER(_xlpm.v)))))</f>
        <v>—</v>
      </c>
      <c r="H78" s="134" t="str">
        <f>IF(B78="","",_xlfn.LET(_xlpm.v,_xlfn.XLOOKUP(B78,Maestro!$I$11:$I$70,Maestro!$AQ$11:$AQ$70,"—"),IF(ISNUMBER(_xlpm.v),TEXT(_xlpm.v,"0%"),IF(_xlpm.v="","—",IF(LEN(_xlpm.v)&gt;1,UPPER(LEFT(_xlpm.v,1))&amp;MID(_xlpm.v,2,LEN(_xlpm.v)),UPPER(_xlpm.v))))))</f>
        <v>—</v>
      </c>
      <c r="I78" s="134" t="str">
        <f>IF(B78="","",_xlfn.LET(_xlpm.v,_xlfn.XLOOKUP(B78,Maestro!$I$11:$I$70,Maestro!$AR$11:$AR$70,"—"),IF(_xlpm.v="","—",IF(LEN(_xlpm.v)&gt;1,UPPER(LEFT(_xlpm.v,1))&amp;MID(_xlpm.v,2,LEN(_xlpm.v)),UPPER(_xlpm.v)))))</f>
        <v>—</v>
      </c>
      <c r="J78" s="134" t="str">
        <f>IF(B78="","",_xlfn.LET(_xlpm.v,_xlfn.XLOOKUP(B78,Maestro!$I$11:$I$70,Maestro!$BD$11:$BD$70,"—"),IF(_xlpm.v="","—",IF(LEN(_xlpm.v)&gt;1,UPPER(LEFT(_xlpm.v,1))&amp;MID(_xlpm.v,2,LEN(_xlpm.v)),UPPER(_xlpm.v)))))</f>
        <v>—</v>
      </c>
      <c r="K78" s="135" t="str">
        <f>IF(B78="","",_xlfn.LET(_xlpm.v,_xlfn.XLOOKUP(B78,Maestro!$I$11:$I$70,Maestro!$BP$11:$BP$70,"—"),IF(_xlpm.v="","—",IF(LEN(_xlpm.v)&gt;1,UPPER(LEFT(_xlpm.v,1))&amp;MID(_xlpm.v,2,LEN(_xlpm.v)),UPPER(_xlpm.v)))))</f>
        <v>—</v>
      </c>
      <c r="L78" s="135" t="str">
        <f t="shared" si="6"/>
        <v>✖ Pendiente</v>
      </c>
    </row>
    <row r="79" spans="2:12" x14ac:dyDescent="0.3">
      <c r="B79" s="162">
        <f>IF(Maestro!I55="","",Maestro!I55)</f>
        <v>116661</v>
      </c>
      <c r="C79" s="153" t="str">
        <f>IF(B79="","",_xlfn.LET(_xlpm.v,_xlfn.XLOOKUP(B79,Maestro!$I$11:$I$70,Maestro!$E$11:$E$70,"—"),IF(_xlpm.v="","—",_xlpm.v)))</f>
        <v>—</v>
      </c>
      <c r="D79" s="164" t="str">
        <f>IF(B79="","",SUBSTITUTE(_xlfn.XLOOKUP(B79,Maestro!$I$11:$I$70,Maestro!$C$11:$C$70,"—"),"Facultad de ",""))</f>
        <v/>
      </c>
      <c r="E79" s="154" t="str">
        <f>IF(B79="","",_xlfn.LET(_xlpm.v,_xlfn.XLOOKUP(B79,Maestro!$I$11:$I$70,Maestro!$F$11:$F$70,"—"),IF(_xlpm.v="","—",_xlpm.v)))</f>
        <v>—</v>
      </c>
      <c r="F79" s="154" t="str">
        <f>IF(B79="","",_xlfn.LET(_xlpm.v,_xlfn.XLOOKUP(B79,Maestro!$I$11:$I$70,Maestro!$R$11:$R$70,"—"),IF(_xlpm.v="","—",IF(LEN(_xlpm.v)&gt;1,UPPER(LEFT(_xlpm.v,1))&amp;MID(_xlpm.v,2,LEN(_xlpm.v)),UPPER(_xlpm.v)))))</f>
        <v>—</v>
      </c>
      <c r="G79" s="154" t="str">
        <f>IF(B79="","",_xlfn.LET(_xlpm.v,_xlfn.XLOOKUP(B79,Maestro!$I$11:$I$70,Maestro!$U$11:$U$70,"—"),IF(_xlpm.v="","—",IF(LEN(_xlpm.v)&gt;1,UPPER(LEFT(_xlpm.v,1))&amp;MID(_xlpm.v,2,LEN(_xlpm.v)),UPPER(_xlpm.v)))))</f>
        <v>—</v>
      </c>
      <c r="H79" s="154" t="str">
        <f>IF(B79="","",_xlfn.LET(_xlpm.v,_xlfn.XLOOKUP(B79,Maestro!$I$11:$I$70,Maestro!$AQ$11:$AQ$70,"—"),IF(ISNUMBER(_xlpm.v),TEXT(_xlpm.v,"0%"),IF(_xlpm.v="","—",IF(LEN(_xlpm.v)&gt;1,UPPER(LEFT(_xlpm.v,1))&amp;MID(_xlpm.v,2,LEN(_xlpm.v)),UPPER(_xlpm.v))))))</f>
        <v>—</v>
      </c>
      <c r="I79" s="154" t="str">
        <f>IF(B79="","",_xlfn.LET(_xlpm.v,_xlfn.XLOOKUP(B79,Maestro!$I$11:$I$70,Maestro!$AR$11:$AR$70,"—"),IF(_xlpm.v="","—",IF(LEN(_xlpm.v)&gt;1,UPPER(LEFT(_xlpm.v,1))&amp;MID(_xlpm.v,2,LEN(_xlpm.v)),UPPER(_xlpm.v)))))</f>
        <v>—</v>
      </c>
      <c r="J79" s="154" t="str">
        <f>IF(B79="","",_xlfn.LET(_xlpm.v,_xlfn.XLOOKUP(B79,Maestro!$I$11:$I$70,Maestro!$BD$11:$BD$70,"—"),IF(_xlpm.v="","—",IF(LEN(_xlpm.v)&gt;1,UPPER(LEFT(_xlpm.v,1))&amp;MID(_xlpm.v,2,LEN(_xlpm.v)),UPPER(_xlpm.v)))))</f>
        <v>—</v>
      </c>
      <c r="K79" s="155" t="str">
        <f>IF(B79="","",_xlfn.LET(_xlpm.v,_xlfn.XLOOKUP(B79,Maestro!$I$11:$I$70,Maestro!$BP$11:$BP$70,"—"),IF(_xlpm.v="","—",IF(LEN(_xlpm.v)&gt;1,UPPER(LEFT(_xlpm.v,1))&amp;MID(_xlpm.v,2,LEN(_xlpm.v)),UPPER(_xlpm.v)))))</f>
        <v>—</v>
      </c>
      <c r="L79" s="155" t="str">
        <f t="shared" si="6"/>
        <v>✖ Pendiente</v>
      </c>
    </row>
    <row r="80" spans="2:12" x14ac:dyDescent="0.3">
      <c r="B80" s="163">
        <f>IF(Maestro!I56="","",Maestro!I56)</f>
        <v>91501</v>
      </c>
      <c r="C80" s="131" t="str">
        <f>IF(B80="","",_xlfn.LET(_xlpm.v,_xlfn.XLOOKUP(B80,Maestro!$I$11:$I$70,Maestro!$E$11:$E$70,"—"),IF(_xlpm.v="","—",_xlpm.v)))</f>
        <v>—</v>
      </c>
      <c r="D80" s="165" t="str">
        <f>IF(B80="","",SUBSTITUTE(_xlfn.XLOOKUP(B80,Maestro!$I$11:$I$70,Maestro!$C$11:$C$70,"—"),"Facultad de ",""))</f>
        <v/>
      </c>
      <c r="E80" s="134" t="str">
        <f>IF(B80="","",_xlfn.LET(_xlpm.v,_xlfn.XLOOKUP(B80,Maestro!$I$11:$I$70,Maestro!$F$11:$F$70,"—"),IF(_xlpm.v="","—",_xlpm.v)))</f>
        <v>—</v>
      </c>
      <c r="F80" s="134" t="str">
        <f>IF(B80="","",_xlfn.LET(_xlpm.v,_xlfn.XLOOKUP(B80,Maestro!$I$11:$I$70,Maestro!$R$11:$R$70,"—"),IF(_xlpm.v="","—",IF(LEN(_xlpm.v)&gt;1,UPPER(LEFT(_xlpm.v,1))&amp;MID(_xlpm.v,2,LEN(_xlpm.v)),UPPER(_xlpm.v)))))</f>
        <v>—</v>
      </c>
      <c r="G80" s="134" t="str">
        <f>IF(B80="","",_xlfn.LET(_xlpm.v,_xlfn.XLOOKUP(B80,Maestro!$I$11:$I$70,Maestro!$U$11:$U$70,"—"),IF(_xlpm.v="","—",IF(LEN(_xlpm.v)&gt;1,UPPER(LEFT(_xlpm.v,1))&amp;MID(_xlpm.v,2,LEN(_xlpm.v)),UPPER(_xlpm.v)))))</f>
        <v>—</v>
      </c>
      <c r="H80" s="134" t="str">
        <f>IF(B80="","",_xlfn.LET(_xlpm.v,_xlfn.XLOOKUP(B80,Maestro!$I$11:$I$70,Maestro!$AQ$11:$AQ$70,"—"),IF(ISNUMBER(_xlpm.v),TEXT(_xlpm.v,"0%"),IF(_xlpm.v="","—",IF(LEN(_xlpm.v)&gt;1,UPPER(LEFT(_xlpm.v,1))&amp;MID(_xlpm.v,2,LEN(_xlpm.v)),UPPER(_xlpm.v))))))</f>
        <v>—</v>
      </c>
      <c r="I80" s="134" t="str">
        <f>IF(B80="","",_xlfn.LET(_xlpm.v,_xlfn.XLOOKUP(B80,Maestro!$I$11:$I$70,Maestro!$AR$11:$AR$70,"—"),IF(_xlpm.v="","—",IF(LEN(_xlpm.v)&gt;1,UPPER(LEFT(_xlpm.v,1))&amp;MID(_xlpm.v,2,LEN(_xlpm.v)),UPPER(_xlpm.v)))))</f>
        <v>—</v>
      </c>
      <c r="J80" s="134" t="str">
        <f>IF(B80="","",_xlfn.LET(_xlpm.v,_xlfn.XLOOKUP(B80,Maestro!$I$11:$I$70,Maestro!$BD$11:$BD$70,"—"),IF(_xlpm.v="","—",IF(LEN(_xlpm.v)&gt;1,UPPER(LEFT(_xlpm.v,1))&amp;MID(_xlpm.v,2,LEN(_xlpm.v)),UPPER(_xlpm.v)))))</f>
        <v>—</v>
      </c>
      <c r="K80" s="135" t="str">
        <f>IF(B80="","",_xlfn.LET(_xlpm.v,_xlfn.XLOOKUP(B80,Maestro!$I$11:$I$70,Maestro!$BP$11:$BP$70,"—"),IF(_xlpm.v="","—",IF(LEN(_xlpm.v)&gt;1,UPPER(LEFT(_xlpm.v,1))&amp;MID(_xlpm.v,2,LEN(_xlpm.v)),UPPER(_xlpm.v)))))</f>
        <v>—</v>
      </c>
      <c r="L80" s="135" t="str">
        <f t="shared" si="6"/>
        <v>✖ Pendiente</v>
      </c>
    </row>
    <row r="81" spans="2:12" x14ac:dyDescent="0.3">
      <c r="B81" s="162">
        <f>IF(Maestro!I57="","",Maestro!I57)</f>
        <v>101288</v>
      </c>
      <c r="C81" s="153" t="str">
        <f>IF(B81="","",_xlfn.LET(_xlpm.v,_xlfn.XLOOKUP(B81,Maestro!$I$11:$I$70,Maestro!$E$11:$E$70,"—"),IF(_xlpm.v="","—",_xlpm.v)))</f>
        <v>—</v>
      </c>
      <c r="D81" s="164" t="str">
        <f>IF(B81="","",SUBSTITUTE(_xlfn.XLOOKUP(B81,Maestro!$I$11:$I$70,Maestro!$C$11:$C$70,"—"),"Facultad de ",""))</f>
        <v/>
      </c>
      <c r="E81" s="154" t="str">
        <f>IF(B81="","",_xlfn.LET(_xlpm.v,_xlfn.XLOOKUP(B81,Maestro!$I$11:$I$70,Maestro!$F$11:$F$70,"—"),IF(_xlpm.v="","—",_xlpm.v)))</f>
        <v>—</v>
      </c>
      <c r="F81" s="154" t="str">
        <f>IF(B81="","",_xlfn.LET(_xlpm.v,_xlfn.XLOOKUP(B81,Maestro!$I$11:$I$70,Maestro!$R$11:$R$70,"—"),IF(_xlpm.v="","—",IF(LEN(_xlpm.v)&gt;1,UPPER(LEFT(_xlpm.v,1))&amp;MID(_xlpm.v,2,LEN(_xlpm.v)),UPPER(_xlpm.v)))))</f>
        <v>—</v>
      </c>
      <c r="G81" s="154" t="str">
        <f>IF(B81="","",_xlfn.LET(_xlpm.v,_xlfn.XLOOKUP(B81,Maestro!$I$11:$I$70,Maestro!$U$11:$U$70,"—"),IF(_xlpm.v="","—",IF(LEN(_xlpm.v)&gt;1,UPPER(LEFT(_xlpm.v,1))&amp;MID(_xlpm.v,2,LEN(_xlpm.v)),UPPER(_xlpm.v)))))</f>
        <v>—</v>
      </c>
      <c r="H81" s="154" t="str">
        <f>IF(B81="","",_xlfn.LET(_xlpm.v,_xlfn.XLOOKUP(B81,Maestro!$I$11:$I$70,Maestro!$AQ$11:$AQ$70,"—"),IF(ISNUMBER(_xlpm.v),TEXT(_xlpm.v,"0%"),IF(_xlpm.v="","—",IF(LEN(_xlpm.v)&gt;1,UPPER(LEFT(_xlpm.v,1))&amp;MID(_xlpm.v,2,LEN(_xlpm.v)),UPPER(_xlpm.v))))))</f>
        <v>—</v>
      </c>
      <c r="I81" s="154" t="str">
        <f>IF(B81="","",_xlfn.LET(_xlpm.v,_xlfn.XLOOKUP(B81,Maestro!$I$11:$I$70,Maestro!$AR$11:$AR$70,"—"),IF(_xlpm.v="","—",IF(LEN(_xlpm.v)&gt;1,UPPER(LEFT(_xlpm.v,1))&amp;MID(_xlpm.v,2,LEN(_xlpm.v)),UPPER(_xlpm.v)))))</f>
        <v>—</v>
      </c>
      <c r="J81" s="154" t="str">
        <f>IF(B81="","",_xlfn.LET(_xlpm.v,_xlfn.XLOOKUP(B81,Maestro!$I$11:$I$70,Maestro!$BD$11:$BD$70,"—"),IF(_xlpm.v="","—",IF(LEN(_xlpm.v)&gt;1,UPPER(LEFT(_xlpm.v,1))&amp;MID(_xlpm.v,2,LEN(_xlpm.v)),UPPER(_xlpm.v)))))</f>
        <v>—</v>
      </c>
      <c r="K81" s="155" t="str">
        <f>IF(B81="","",_xlfn.LET(_xlpm.v,_xlfn.XLOOKUP(B81,Maestro!$I$11:$I$70,Maestro!$BP$11:$BP$70,"—"),IF(_xlpm.v="","—",IF(LEN(_xlpm.v)&gt;1,UPPER(LEFT(_xlpm.v,1))&amp;MID(_xlpm.v,2,LEN(_xlpm.v)),UPPER(_xlpm.v)))))</f>
        <v>—</v>
      </c>
      <c r="L81" s="155" t="str">
        <f t="shared" si="6"/>
        <v>✖ Pendiente</v>
      </c>
    </row>
    <row r="82" spans="2:12" x14ac:dyDescent="0.3">
      <c r="B82" s="163">
        <f>IF(Maestro!I58="","",Maestro!I58)</f>
        <v>91502</v>
      </c>
      <c r="C82" s="131" t="str">
        <f>IF(B82="","",_xlfn.LET(_xlpm.v,_xlfn.XLOOKUP(B82,Maestro!$I$11:$I$70,Maestro!$E$11:$E$70,"—"),IF(_xlpm.v="","—",_xlpm.v)))</f>
        <v>—</v>
      </c>
      <c r="D82" s="165" t="str">
        <f>IF(B82="","",SUBSTITUTE(_xlfn.XLOOKUP(B82,Maestro!$I$11:$I$70,Maestro!$C$11:$C$70,"—"),"Facultad de ",""))</f>
        <v/>
      </c>
      <c r="E82" s="134" t="str">
        <f>IF(B82="","",_xlfn.LET(_xlpm.v,_xlfn.XLOOKUP(B82,Maestro!$I$11:$I$70,Maestro!$F$11:$F$70,"—"),IF(_xlpm.v="","—",_xlpm.v)))</f>
        <v>—</v>
      </c>
      <c r="F82" s="134" t="str">
        <f>IF(B82="","",_xlfn.LET(_xlpm.v,_xlfn.XLOOKUP(B82,Maestro!$I$11:$I$70,Maestro!$R$11:$R$70,"—"),IF(_xlpm.v="","—",IF(LEN(_xlpm.v)&gt;1,UPPER(LEFT(_xlpm.v,1))&amp;MID(_xlpm.v,2,LEN(_xlpm.v)),UPPER(_xlpm.v)))))</f>
        <v>—</v>
      </c>
      <c r="G82" s="134" t="str">
        <f>IF(B82="","",_xlfn.LET(_xlpm.v,_xlfn.XLOOKUP(B82,Maestro!$I$11:$I$70,Maestro!$U$11:$U$70,"—"),IF(_xlpm.v="","—",IF(LEN(_xlpm.v)&gt;1,UPPER(LEFT(_xlpm.v,1))&amp;MID(_xlpm.v,2,LEN(_xlpm.v)),UPPER(_xlpm.v)))))</f>
        <v>—</v>
      </c>
      <c r="H82" s="134" t="str">
        <f>IF(B82="","",_xlfn.LET(_xlpm.v,_xlfn.XLOOKUP(B82,Maestro!$I$11:$I$70,Maestro!$AQ$11:$AQ$70,"—"),IF(ISNUMBER(_xlpm.v),TEXT(_xlpm.v,"0%"),IF(_xlpm.v="","—",IF(LEN(_xlpm.v)&gt;1,UPPER(LEFT(_xlpm.v,1))&amp;MID(_xlpm.v,2,LEN(_xlpm.v)),UPPER(_xlpm.v))))))</f>
        <v>—</v>
      </c>
      <c r="I82" s="134" t="str">
        <f>IF(B82="","",_xlfn.LET(_xlpm.v,_xlfn.XLOOKUP(B82,Maestro!$I$11:$I$70,Maestro!$AR$11:$AR$70,"—"),IF(_xlpm.v="","—",IF(LEN(_xlpm.v)&gt;1,UPPER(LEFT(_xlpm.v,1))&amp;MID(_xlpm.v,2,LEN(_xlpm.v)),UPPER(_xlpm.v)))))</f>
        <v>—</v>
      </c>
      <c r="J82" s="134" t="str">
        <f>IF(B82="","",_xlfn.LET(_xlpm.v,_xlfn.XLOOKUP(B82,Maestro!$I$11:$I$70,Maestro!$BD$11:$BD$70,"—"),IF(_xlpm.v="","—",IF(LEN(_xlpm.v)&gt;1,UPPER(LEFT(_xlpm.v,1))&amp;MID(_xlpm.v,2,LEN(_xlpm.v)),UPPER(_xlpm.v)))))</f>
        <v>—</v>
      </c>
      <c r="K82" s="135" t="str">
        <f>IF(B82="","",_xlfn.LET(_xlpm.v,_xlfn.XLOOKUP(B82,Maestro!$I$11:$I$70,Maestro!$BP$11:$BP$70,"—"),IF(_xlpm.v="","—",IF(LEN(_xlpm.v)&gt;1,UPPER(LEFT(_xlpm.v,1))&amp;MID(_xlpm.v,2,LEN(_xlpm.v)),UPPER(_xlpm.v)))))</f>
        <v>—</v>
      </c>
      <c r="L82" s="135" t="str">
        <f t="shared" si="6"/>
        <v>✖ Pendiente</v>
      </c>
    </row>
    <row r="83" spans="2:12" x14ac:dyDescent="0.3">
      <c r="B83" s="162">
        <f>IF(Maestro!I59="","",Maestro!I59)</f>
        <v>107852</v>
      </c>
      <c r="C83" s="153" t="str">
        <f>IF(B83="","",_xlfn.LET(_xlpm.v,_xlfn.XLOOKUP(B83,Maestro!$I$11:$I$70,Maestro!$E$11:$E$70,"—"),IF(_xlpm.v="","—",_xlpm.v)))</f>
        <v>—</v>
      </c>
      <c r="D83" s="164" t="str">
        <f>IF(B83="","",SUBSTITUTE(_xlfn.XLOOKUP(B83,Maestro!$I$11:$I$70,Maestro!$C$11:$C$70,"—"),"Facultad de ",""))</f>
        <v/>
      </c>
      <c r="E83" s="154" t="str">
        <f>IF(B83="","",_xlfn.LET(_xlpm.v,_xlfn.XLOOKUP(B83,Maestro!$I$11:$I$70,Maestro!$F$11:$F$70,"—"),IF(_xlpm.v="","—",_xlpm.v)))</f>
        <v>—</v>
      </c>
      <c r="F83" s="154" t="str">
        <f>IF(B83="","",_xlfn.LET(_xlpm.v,_xlfn.XLOOKUP(B83,Maestro!$I$11:$I$70,Maestro!$R$11:$R$70,"—"),IF(_xlpm.v="","—",IF(LEN(_xlpm.v)&gt;1,UPPER(LEFT(_xlpm.v,1))&amp;MID(_xlpm.v,2,LEN(_xlpm.v)),UPPER(_xlpm.v)))))</f>
        <v>—</v>
      </c>
      <c r="G83" s="154" t="str">
        <f>IF(B83="","",_xlfn.LET(_xlpm.v,_xlfn.XLOOKUP(B83,Maestro!$I$11:$I$70,Maestro!$U$11:$U$70,"—"),IF(_xlpm.v="","—",IF(LEN(_xlpm.v)&gt;1,UPPER(LEFT(_xlpm.v,1))&amp;MID(_xlpm.v,2,LEN(_xlpm.v)),UPPER(_xlpm.v)))))</f>
        <v>—</v>
      </c>
      <c r="H83" s="154" t="str">
        <f>IF(B83="","",_xlfn.LET(_xlpm.v,_xlfn.XLOOKUP(B83,Maestro!$I$11:$I$70,Maestro!$AQ$11:$AQ$70,"—"),IF(ISNUMBER(_xlpm.v),TEXT(_xlpm.v,"0%"),IF(_xlpm.v="","—",IF(LEN(_xlpm.v)&gt;1,UPPER(LEFT(_xlpm.v,1))&amp;MID(_xlpm.v,2,LEN(_xlpm.v)),UPPER(_xlpm.v))))))</f>
        <v>—</v>
      </c>
      <c r="I83" s="154" t="str">
        <f>IF(B83="","",_xlfn.LET(_xlpm.v,_xlfn.XLOOKUP(B83,Maestro!$I$11:$I$70,Maestro!$AR$11:$AR$70,"—"),IF(_xlpm.v="","—",IF(LEN(_xlpm.v)&gt;1,UPPER(LEFT(_xlpm.v,1))&amp;MID(_xlpm.v,2,LEN(_xlpm.v)),UPPER(_xlpm.v)))))</f>
        <v>—</v>
      </c>
      <c r="J83" s="154" t="str">
        <f>IF(B83="","",_xlfn.LET(_xlpm.v,_xlfn.XLOOKUP(B83,Maestro!$I$11:$I$70,Maestro!$BD$11:$BD$70,"—"),IF(_xlpm.v="","—",IF(LEN(_xlpm.v)&gt;1,UPPER(LEFT(_xlpm.v,1))&amp;MID(_xlpm.v,2,LEN(_xlpm.v)),UPPER(_xlpm.v)))))</f>
        <v>—</v>
      </c>
      <c r="K83" s="155" t="str">
        <f>IF(B83="","",_xlfn.LET(_xlpm.v,_xlfn.XLOOKUP(B83,Maestro!$I$11:$I$70,Maestro!$BP$11:$BP$70,"—"),IF(_xlpm.v="","—",IF(LEN(_xlpm.v)&gt;1,UPPER(LEFT(_xlpm.v,1))&amp;MID(_xlpm.v,2,LEN(_xlpm.v)),UPPER(_xlpm.v)))))</f>
        <v>—</v>
      </c>
      <c r="L83" s="155" t="str">
        <f t="shared" si="6"/>
        <v>✖ Pendiente</v>
      </c>
    </row>
    <row r="84" spans="2:12" x14ac:dyDescent="0.3">
      <c r="B84" s="163">
        <f>IF(Maestro!I60="","",Maestro!I60)</f>
        <v>102630</v>
      </c>
      <c r="C84" s="131" t="str">
        <f>IF(B84="","",_xlfn.LET(_xlpm.v,_xlfn.XLOOKUP(B84,Maestro!$I$11:$I$70,Maestro!$E$11:$E$70,"—"),IF(_xlpm.v="","—",_xlpm.v)))</f>
        <v>—</v>
      </c>
      <c r="D84" s="165" t="str">
        <f>IF(B84="","",SUBSTITUTE(_xlfn.XLOOKUP(B84,Maestro!$I$11:$I$70,Maestro!$C$11:$C$70,"—"),"Facultad de ",""))</f>
        <v/>
      </c>
      <c r="E84" s="134" t="str">
        <f>IF(B84="","",_xlfn.LET(_xlpm.v,_xlfn.XLOOKUP(B84,Maestro!$I$11:$I$70,Maestro!$F$11:$F$70,"—"),IF(_xlpm.v="","—",_xlpm.v)))</f>
        <v>—</v>
      </c>
      <c r="F84" s="134" t="str">
        <f>IF(B84="","",_xlfn.LET(_xlpm.v,_xlfn.XLOOKUP(B84,Maestro!$I$11:$I$70,Maestro!$R$11:$R$70,"—"),IF(_xlpm.v="","—",IF(LEN(_xlpm.v)&gt;1,UPPER(LEFT(_xlpm.v,1))&amp;MID(_xlpm.v,2,LEN(_xlpm.v)),UPPER(_xlpm.v)))))</f>
        <v>—</v>
      </c>
      <c r="G84" s="134" t="str">
        <f>IF(B84="","",_xlfn.LET(_xlpm.v,_xlfn.XLOOKUP(B84,Maestro!$I$11:$I$70,Maestro!$U$11:$U$70,"—"),IF(_xlpm.v="","—",IF(LEN(_xlpm.v)&gt;1,UPPER(LEFT(_xlpm.v,1))&amp;MID(_xlpm.v,2,LEN(_xlpm.v)),UPPER(_xlpm.v)))))</f>
        <v>—</v>
      </c>
      <c r="H84" s="134" t="str">
        <f>IF(B84="","",_xlfn.LET(_xlpm.v,_xlfn.XLOOKUP(B84,Maestro!$I$11:$I$70,Maestro!$AQ$11:$AQ$70,"—"),IF(ISNUMBER(_xlpm.v),TEXT(_xlpm.v,"0%"),IF(_xlpm.v="","—",IF(LEN(_xlpm.v)&gt;1,UPPER(LEFT(_xlpm.v,1))&amp;MID(_xlpm.v,2,LEN(_xlpm.v)),UPPER(_xlpm.v))))))</f>
        <v>—</v>
      </c>
      <c r="I84" s="134" t="str">
        <f>IF(B84="","",_xlfn.LET(_xlpm.v,_xlfn.XLOOKUP(B84,Maestro!$I$11:$I$70,Maestro!$AR$11:$AR$70,"—"),IF(_xlpm.v="","—",IF(LEN(_xlpm.v)&gt;1,UPPER(LEFT(_xlpm.v,1))&amp;MID(_xlpm.v,2,LEN(_xlpm.v)),UPPER(_xlpm.v)))))</f>
        <v>—</v>
      </c>
      <c r="J84" s="134" t="str">
        <f>IF(B84="","",_xlfn.LET(_xlpm.v,_xlfn.XLOOKUP(B84,Maestro!$I$11:$I$70,Maestro!$BD$11:$BD$70,"—"),IF(_xlpm.v="","—",IF(LEN(_xlpm.v)&gt;1,UPPER(LEFT(_xlpm.v,1))&amp;MID(_xlpm.v,2,LEN(_xlpm.v)),UPPER(_xlpm.v)))))</f>
        <v>—</v>
      </c>
      <c r="K84" s="135" t="str">
        <f>IF(B84="","",_xlfn.LET(_xlpm.v,_xlfn.XLOOKUP(B84,Maestro!$I$11:$I$70,Maestro!$BP$11:$BP$70,"—"),IF(_xlpm.v="","—",IF(LEN(_xlpm.v)&gt;1,UPPER(LEFT(_xlpm.v,1))&amp;MID(_xlpm.v,2,LEN(_xlpm.v)),UPPER(_xlpm.v)))))</f>
        <v>—</v>
      </c>
      <c r="L84" s="135" t="str">
        <f t="shared" si="6"/>
        <v>✖ Pendiente</v>
      </c>
    </row>
    <row r="85" spans="2:12" x14ac:dyDescent="0.3">
      <c r="B85" s="162">
        <f>IF(Maestro!I61="","",Maestro!I61)</f>
        <v>109274</v>
      </c>
      <c r="C85" s="153" t="str">
        <f>IF(B85="","",_xlfn.LET(_xlpm.v,_xlfn.XLOOKUP(B85,Maestro!$I$11:$I$70,Maestro!$E$11:$E$70,"—"),IF(_xlpm.v="","—",_xlpm.v)))</f>
        <v>—</v>
      </c>
      <c r="D85" s="164" t="str">
        <f>IF(B85="","",SUBSTITUTE(_xlfn.XLOOKUP(B85,Maestro!$I$11:$I$70,Maestro!$C$11:$C$70,"—"),"Facultad de ",""))</f>
        <v/>
      </c>
      <c r="E85" s="154" t="str">
        <f>IF(B85="","",_xlfn.LET(_xlpm.v,_xlfn.XLOOKUP(B85,Maestro!$I$11:$I$70,Maestro!$F$11:$F$70,"—"),IF(_xlpm.v="","—",_xlpm.v)))</f>
        <v>—</v>
      </c>
      <c r="F85" s="154" t="str">
        <f>IF(B85="","",_xlfn.LET(_xlpm.v,_xlfn.XLOOKUP(B85,Maestro!$I$11:$I$70,Maestro!$R$11:$R$70,"—"),IF(_xlpm.v="","—",IF(LEN(_xlpm.v)&gt;1,UPPER(LEFT(_xlpm.v,1))&amp;MID(_xlpm.v,2,LEN(_xlpm.v)),UPPER(_xlpm.v)))))</f>
        <v>—</v>
      </c>
      <c r="G85" s="154" t="str">
        <f>IF(B85="","",_xlfn.LET(_xlpm.v,_xlfn.XLOOKUP(B85,Maestro!$I$11:$I$70,Maestro!$U$11:$U$70,"—"),IF(_xlpm.v="","—",IF(LEN(_xlpm.v)&gt;1,UPPER(LEFT(_xlpm.v,1))&amp;MID(_xlpm.v,2,LEN(_xlpm.v)),UPPER(_xlpm.v)))))</f>
        <v>—</v>
      </c>
      <c r="H85" s="154" t="str">
        <f>IF(B85="","",_xlfn.LET(_xlpm.v,_xlfn.XLOOKUP(B85,Maestro!$I$11:$I$70,Maestro!$AQ$11:$AQ$70,"—"),IF(ISNUMBER(_xlpm.v),TEXT(_xlpm.v,"0%"),IF(_xlpm.v="","—",IF(LEN(_xlpm.v)&gt;1,UPPER(LEFT(_xlpm.v,1))&amp;MID(_xlpm.v,2,LEN(_xlpm.v)),UPPER(_xlpm.v))))))</f>
        <v>—</v>
      </c>
      <c r="I85" s="154" t="str">
        <f>IF(B85="","",_xlfn.LET(_xlpm.v,_xlfn.XLOOKUP(B85,Maestro!$I$11:$I$70,Maestro!$AR$11:$AR$70,"—"),IF(_xlpm.v="","—",IF(LEN(_xlpm.v)&gt;1,UPPER(LEFT(_xlpm.v,1))&amp;MID(_xlpm.v,2,LEN(_xlpm.v)),UPPER(_xlpm.v)))))</f>
        <v>—</v>
      </c>
      <c r="J85" s="154" t="str">
        <f>IF(B85="","",_xlfn.LET(_xlpm.v,_xlfn.XLOOKUP(B85,Maestro!$I$11:$I$70,Maestro!$BD$11:$BD$70,"—"),IF(_xlpm.v="","—",IF(LEN(_xlpm.v)&gt;1,UPPER(LEFT(_xlpm.v,1))&amp;MID(_xlpm.v,2,LEN(_xlpm.v)),UPPER(_xlpm.v)))))</f>
        <v>—</v>
      </c>
      <c r="K85" s="155" t="str">
        <f>IF(B85="","",_xlfn.LET(_xlpm.v,_xlfn.XLOOKUP(B85,Maestro!$I$11:$I$70,Maestro!$BP$11:$BP$70,"—"),IF(_xlpm.v="","—",IF(LEN(_xlpm.v)&gt;1,UPPER(LEFT(_xlpm.v,1))&amp;MID(_xlpm.v,2,LEN(_xlpm.v)),UPPER(_xlpm.v)))))</f>
        <v>—</v>
      </c>
      <c r="L85" s="155" t="str">
        <f t="shared" si="6"/>
        <v>✖ Pendiente</v>
      </c>
    </row>
    <row r="86" spans="2:12" x14ac:dyDescent="0.3">
      <c r="B86" s="163">
        <f>IF(Maestro!I62="","",Maestro!I62)</f>
        <v>111589</v>
      </c>
      <c r="C86" s="131" t="str">
        <f>IF(B86="","",_xlfn.LET(_xlpm.v,_xlfn.XLOOKUP(B86,Maestro!$I$11:$I$70,Maestro!$E$11:$E$70,"—"),IF(_xlpm.v="","—",_xlpm.v)))</f>
        <v>—</v>
      </c>
      <c r="D86" s="165" t="str">
        <f>IF(B86="","",SUBSTITUTE(_xlfn.XLOOKUP(B86,Maestro!$I$11:$I$70,Maestro!$C$11:$C$70,"—"),"Facultad de ",""))</f>
        <v/>
      </c>
      <c r="E86" s="134" t="str">
        <f>IF(B86="","",_xlfn.LET(_xlpm.v,_xlfn.XLOOKUP(B86,Maestro!$I$11:$I$70,Maestro!$F$11:$F$70,"—"),IF(_xlpm.v="","—",_xlpm.v)))</f>
        <v>—</v>
      </c>
      <c r="F86" s="134" t="str">
        <f>IF(B86="","",_xlfn.LET(_xlpm.v,_xlfn.XLOOKUP(B86,Maestro!$I$11:$I$70,Maestro!$R$11:$R$70,"—"),IF(_xlpm.v="","—",IF(LEN(_xlpm.v)&gt;1,UPPER(LEFT(_xlpm.v,1))&amp;MID(_xlpm.v,2,LEN(_xlpm.v)),UPPER(_xlpm.v)))))</f>
        <v>—</v>
      </c>
      <c r="G86" s="134" t="str">
        <f>IF(B86="","",_xlfn.LET(_xlpm.v,_xlfn.XLOOKUP(B86,Maestro!$I$11:$I$70,Maestro!$U$11:$U$70,"—"),IF(_xlpm.v="","—",IF(LEN(_xlpm.v)&gt;1,UPPER(LEFT(_xlpm.v,1))&amp;MID(_xlpm.v,2,LEN(_xlpm.v)),UPPER(_xlpm.v)))))</f>
        <v>—</v>
      </c>
      <c r="H86" s="134" t="str">
        <f>IF(B86="","",_xlfn.LET(_xlpm.v,_xlfn.XLOOKUP(B86,Maestro!$I$11:$I$70,Maestro!$AQ$11:$AQ$70,"—"),IF(ISNUMBER(_xlpm.v),TEXT(_xlpm.v,"0%"),IF(_xlpm.v="","—",IF(LEN(_xlpm.v)&gt;1,UPPER(LEFT(_xlpm.v,1))&amp;MID(_xlpm.v,2,LEN(_xlpm.v)),UPPER(_xlpm.v))))))</f>
        <v>—</v>
      </c>
      <c r="I86" s="134" t="str">
        <f>IF(B86="","",_xlfn.LET(_xlpm.v,_xlfn.XLOOKUP(B86,Maestro!$I$11:$I$70,Maestro!$AR$11:$AR$70,"—"),IF(_xlpm.v="","—",IF(LEN(_xlpm.v)&gt;1,UPPER(LEFT(_xlpm.v,1))&amp;MID(_xlpm.v,2,LEN(_xlpm.v)),UPPER(_xlpm.v)))))</f>
        <v>—</v>
      </c>
      <c r="J86" s="134" t="str">
        <f>IF(B86="","",_xlfn.LET(_xlpm.v,_xlfn.XLOOKUP(B86,Maestro!$I$11:$I$70,Maestro!$BD$11:$BD$70,"—"),IF(_xlpm.v="","—",IF(LEN(_xlpm.v)&gt;1,UPPER(LEFT(_xlpm.v,1))&amp;MID(_xlpm.v,2,LEN(_xlpm.v)),UPPER(_xlpm.v)))))</f>
        <v>—</v>
      </c>
      <c r="K86" s="135" t="str">
        <f>IF(B86="","",_xlfn.LET(_xlpm.v,_xlfn.XLOOKUP(B86,Maestro!$I$11:$I$70,Maestro!$BP$11:$BP$70,"—"),IF(_xlpm.v="","—",IF(LEN(_xlpm.v)&gt;1,UPPER(LEFT(_xlpm.v,1))&amp;MID(_xlpm.v,2,LEN(_xlpm.v)),UPPER(_xlpm.v)))))</f>
        <v>—</v>
      </c>
      <c r="L86" s="135" t="str">
        <f t="shared" si="6"/>
        <v>✖ Pendiente</v>
      </c>
    </row>
    <row r="87" spans="2:12" x14ac:dyDescent="0.3">
      <c r="B87" s="162">
        <f>IF(Maestro!I63="","",Maestro!I63)</f>
        <v>101660</v>
      </c>
      <c r="C87" s="153" t="str">
        <f>IF(B87="","",_xlfn.LET(_xlpm.v,_xlfn.XLOOKUP(B87,Maestro!$I$11:$I$70,Maestro!$E$11:$E$70,"—"),IF(_xlpm.v="","—",_xlpm.v)))</f>
        <v>—</v>
      </c>
      <c r="D87" s="164" t="str">
        <f>IF(B87="","",SUBSTITUTE(_xlfn.XLOOKUP(B87,Maestro!$I$11:$I$70,Maestro!$C$11:$C$70,"—"),"Facultad de ",""))</f>
        <v/>
      </c>
      <c r="E87" s="154" t="str">
        <f>IF(B87="","",_xlfn.LET(_xlpm.v,_xlfn.XLOOKUP(B87,Maestro!$I$11:$I$70,Maestro!$F$11:$F$70,"—"),IF(_xlpm.v="","—",_xlpm.v)))</f>
        <v>—</v>
      </c>
      <c r="F87" s="154" t="str">
        <f>IF(B87="","",_xlfn.LET(_xlpm.v,_xlfn.XLOOKUP(B87,Maestro!$I$11:$I$70,Maestro!$R$11:$R$70,"—"),IF(_xlpm.v="","—",IF(LEN(_xlpm.v)&gt;1,UPPER(LEFT(_xlpm.v,1))&amp;MID(_xlpm.v,2,LEN(_xlpm.v)),UPPER(_xlpm.v)))))</f>
        <v>—</v>
      </c>
      <c r="G87" s="154" t="str">
        <f>IF(B87="","",_xlfn.LET(_xlpm.v,_xlfn.XLOOKUP(B87,Maestro!$I$11:$I$70,Maestro!$U$11:$U$70,"—"),IF(_xlpm.v="","—",IF(LEN(_xlpm.v)&gt;1,UPPER(LEFT(_xlpm.v,1))&amp;MID(_xlpm.v,2,LEN(_xlpm.v)),UPPER(_xlpm.v)))))</f>
        <v>—</v>
      </c>
      <c r="H87" s="154" t="str">
        <f>IF(B87="","",_xlfn.LET(_xlpm.v,_xlfn.XLOOKUP(B87,Maestro!$I$11:$I$70,Maestro!$AQ$11:$AQ$70,"—"),IF(ISNUMBER(_xlpm.v),TEXT(_xlpm.v,"0%"),IF(_xlpm.v="","—",IF(LEN(_xlpm.v)&gt;1,UPPER(LEFT(_xlpm.v,1))&amp;MID(_xlpm.v,2,LEN(_xlpm.v)),UPPER(_xlpm.v))))))</f>
        <v>—</v>
      </c>
      <c r="I87" s="154" t="str">
        <f>IF(B87="","",_xlfn.LET(_xlpm.v,_xlfn.XLOOKUP(B87,Maestro!$I$11:$I$70,Maestro!$AR$11:$AR$70,"—"),IF(_xlpm.v="","—",IF(LEN(_xlpm.v)&gt;1,UPPER(LEFT(_xlpm.v,1))&amp;MID(_xlpm.v,2,LEN(_xlpm.v)),UPPER(_xlpm.v)))))</f>
        <v>—</v>
      </c>
      <c r="J87" s="154" t="str">
        <f>IF(B87="","",_xlfn.LET(_xlpm.v,_xlfn.XLOOKUP(B87,Maestro!$I$11:$I$70,Maestro!$BD$11:$BD$70,"—"),IF(_xlpm.v="","—",IF(LEN(_xlpm.v)&gt;1,UPPER(LEFT(_xlpm.v,1))&amp;MID(_xlpm.v,2,LEN(_xlpm.v)),UPPER(_xlpm.v)))))</f>
        <v>—</v>
      </c>
      <c r="K87" s="155" t="str">
        <f>IF(B87="","",_xlfn.LET(_xlpm.v,_xlfn.XLOOKUP(B87,Maestro!$I$11:$I$70,Maestro!$BP$11:$BP$70,"—"),IF(_xlpm.v="","—",IF(LEN(_xlpm.v)&gt;1,UPPER(LEFT(_xlpm.v,1))&amp;MID(_xlpm.v,2,LEN(_xlpm.v)),UPPER(_xlpm.v)))))</f>
        <v>—</v>
      </c>
      <c r="L87" s="155" t="str">
        <f t="shared" si="6"/>
        <v>✖ Pendiente</v>
      </c>
    </row>
    <row r="88" spans="2:12" x14ac:dyDescent="0.3">
      <c r="B88" s="163">
        <f>IF(Maestro!I64="","",Maestro!I64)</f>
        <v>110642</v>
      </c>
      <c r="C88" s="131" t="str">
        <f>IF(B88="","",_xlfn.LET(_xlpm.v,_xlfn.XLOOKUP(B88,Maestro!$I$11:$I$70,Maestro!$E$11:$E$70,"—"),IF(_xlpm.v="","—",_xlpm.v)))</f>
        <v>—</v>
      </c>
      <c r="D88" s="165" t="str">
        <f>IF(B88="","",SUBSTITUTE(_xlfn.XLOOKUP(B88,Maestro!$I$11:$I$70,Maestro!$C$11:$C$70,"—"),"Facultad de ",""))</f>
        <v/>
      </c>
      <c r="E88" s="134" t="str">
        <f>IF(B88="","",_xlfn.LET(_xlpm.v,_xlfn.XLOOKUP(B88,Maestro!$I$11:$I$70,Maestro!$F$11:$F$70,"—"),IF(_xlpm.v="","—",_xlpm.v)))</f>
        <v>—</v>
      </c>
      <c r="F88" s="134" t="str">
        <f>IF(B88="","",_xlfn.LET(_xlpm.v,_xlfn.XLOOKUP(B88,Maestro!$I$11:$I$70,Maestro!$R$11:$R$70,"—"),IF(_xlpm.v="","—",IF(LEN(_xlpm.v)&gt;1,UPPER(LEFT(_xlpm.v,1))&amp;MID(_xlpm.v,2,LEN(_xlpm.v)),UPPER(_xlpm.v)))))</f>
        <v>—</v>
      </c>
      <c r="G88" s="134" t="str">
        <f>IF(B88="","",_xlfn.LET(_xlpm.v,_xlfn.XLOOKUP(B88,Maestro!$I$11:$I$70,Maestro!$U$11:$U$70,"—"),IF(_xlpm.v="","—",IF(LEN(_xlpm.v)&gt;1,UPPER(LEFT(_xlpm.v,1))&amp;MID(_xlpm.v,2,LEN(_xlpm.v)),UPPER(_xlpm.v)))))</f>
        <v>—</v>
      </c>
      <c r="H88" s="134" t="str">
        <f>IF(B88="","",_xlfn.LET(_xlpm.v,_xlfn.XLOOKUP(B88,Maestro!$I$11:$I$70,Maestro!$AQ$11:$AQ$70,"—"),IF(ISNUMBER(_xlpm.v),TEXT(_xlpm.v,"0%"),IF(_xlpm.v="","—",IF(LEN(_xlpm.v)&gt;1,UPPER(LEFT(_xlpm.v,1))&amp;MID(_xlpm.v,2,LEN(_xlpm.v)),UPPER(_xlpm.v))))))</f>
        <v>—</v>
      </c>
      <c r="I88" s="134" t="str">
        <f>IF(B88="","",_xlfn.LET(_xlpm.v,_xlfn.XLOOKUP(B88,Maestro!$I$11:$I$70,Maestro!$AR$11:$AR$70,"—"),IF(_xlpm.v="","—",IF(LEN(_xlpm.v)&gt;1,UPPER(LEFT(_xlpm.v,1))&amp;MID(_xlpm.v,2,LEN(_xlpm.v)),UPPER(_xlpm.v)))))</f>
        <v>—</v>
      </c>
      <c r="J88" s="134" t="str">
        <f>IF(B88="","",_xlfn.LET(_xlpm.v,_xlfn.XLOOKUP(B88,Maestro!$I$11:$I$70,Maestro!$BD$11:$BD$70,"—"),IF(_xlpm.v="","—",IF(LEN(_xlpm.v)&gt;1,UPPER(LEFT(_xlpm.v,1))&amp;MID(_xlpm.v,2,LEN(_xlpm.v)),UPPER(_xlpm.v)))))</f>
        <v>—</v>
      </c>
      <c r="K88" s="135" t="str">
        <f>IF(B88="","",_xlfn.LET(_xlpm.v,_xlfn.XLOOKUP(B88,Maestro!$I$11:$I$70,Maestro!$BP$11:$BP$70,"—"),IF(_xlpm.v="","—",IF(LEN(_xlpm.v)&gt;1,UPPER(LEFT(_xlpm.v,1))&amp;MID(_xlpm.v,2,LEN(_xlpm.v)),UPPER(_xlpm.v)))))</f>
        <v>—</v>
      </c>
      <c r="L88" s="135" t="str">
        <f t="shared" si="6"/>
        <v>✖ Pendiente</v>
      </c>
    </row>
    <row r="89" spans="2:12" x14ac:dyDescent="0.3">
      <c r="B89" s="162">
        <f>IF(Maestro!I65="","",Maestro!I65)</f>
        <v>3208</v>
      </c>
      <c r="C89" s="153" t="str">
        <f>IF(B89="","",_xlfn.LET(_xlpm.v,_xlfn.XLOOKUP(B89,Maestro!$I$11:$I$70,Maestro!$E$11:$E$70,"—"),IF(_xlpm.v="","—",_xlpm.v)))</f>
        <v>—</v>
      </c>
      <c r="D89" s="164" t="str">
        <f>IF(B89="","",SUBSTITUTE(_xlfn.XLOOKUP(B89,Maestro!$I$11:$I$70,Maestro!$C$11:$C$70,"—"),"Facultad de ",""))</f>
        <v/>
      </c>
      <c r="E89" s="154" t="str">
        <f>IF(B89="","",_xlfn.LET(_xlpm.v,_xlfn.XLOOKUP(B89,Maestro!$I$11:$I$70,Maestro!$F$11:$F$70,"—"),IF(_xlpm.v="","—",_xlpm.v)))</f>
        <v>—</v>
      </c>
      <c r="F89" s="154" t="str">
        <f>IF(B89="","",_xlfn.LET(_xlpm.v,_xlfn.XLOOKUP(B89,Maestro!$I$11:$I$70,Maestro!$R$11:$R$70,"—"),IF(_xlpm.v="","—",IF(LEN(_xlpm.v)&gt;1,UPPER(LEFT(_xlpm.v,1))&amp;MID(_xlpm.v,2,LEN(_xlpm.v)),UPPER(_xlpm.v)))))</f>
        <v>—</v>
      </c>
      <c r="G89" s="154" t="str">
        <f>IF(B89="","",_xlfn.LET(_xlpm.v,_xlfn.XLOOKUP(B89,Maestro!$I$11:$I$70,Maestro!$U$11:$U$70,"—"),IF(_xlpm.v="","—",IF(LEN(_xlpm.v)&gt;1,UPPER(LEFT(_xlpm.v,1))&amp;MID(_xlpm.v,2,LEN(_xlpm.v)),UPPER(_xlpm.v)))))</f>
        <v>—</v>
      </c>
      <c r="H89" s="154" t="str">
        <f>IF(B89="","",_xlfn.LET(_xlpm.v,_xlfn.XLOOKUP(B89,Maestro!$I$11:$I$70,Maestro!$AQ$11:$AQ$70,"—"),IF(ISNUMBER(_xlpm.v),TEXT(_xlpm.v,"0%"),IF(_xlpm.v="","—",IF(LEN(_xlpm.v)&gt;1,UPPER(LEFT(_xlpm.v,1))&amp;MID(_xlpm.v,2,LEN(_xlpm.v)),UPPER(_xlpm.v))))))</f>
        <v>—</v>
      </c>
      <c r="I89" s="154" t="str">
        <f>IF(B89="","",_xlfn.LET(_xlpm.v,_xlfn.XLOOKUP(B89,Maestro!$I$11:$I$70,Maestro!$AR$11:$AR$70,"—"),IF(_xlpm.v="","—",IF(LEN(_xlpm.v)&gt;1,UPPER(LEFT(_xlpm.v,1))&amp;MID(_xlpm.v,2,LEN(_xlpm.v)),UPPER(_xlpm.v)))))</f>
        <v>—</v>
      </c>
      <c r="J89" s="154" t="str">
        <f>IF(B89="","",_xlfn.LET(_xlpm.v,_xlfn.XLOOKUP(B89,Maestro!$I$11:$I$70,Maestro!$BD$11:$BD$70,"—"),IF(_xlpm.v="","—",IF(LEN(_xlpm.v)&gt;1,UPPER(LEFT(_xlpm.v,1))&amp;MID(_xlpm.v,2,LEN(_xlpm.v)),UPPER(_xlpm.v)))))</f>
        <v>—</v>
      </c>
      <c r="K89" s="155" t="str">
        <f>IF(B89="","",_xlfn.LET(_xlpm.v,_xlfn.XLOOKUP(B89,Maestro!$I$11:$I$70,Maestro!$BP$11:$BP$70,"—"),IF(_xlpm.v="","—",IF(LEN(_xlpm.v)&gt;1,UPPER(LEFT(_xlpm.v,1))&amp;MID(_xlpm.v,2,LEN(_xlpm.v)),UPPER(_xlpm.v)))))</f>
        <v>—</v>
      </c>
      <c r="L89" s="155" t="str">
        <f t="shared" si="6"/>
        <v>✖ Pendiente</v>
      </c>
    </row>
    <row r="90" spans="2:12" x14ac:dyDescent="0.3">
      <c r="B90" s="163">
        <f>IF(Maestro!I66="","",Maestro!I66)</f>
        <v>103681</v>
      </c>
      <c r="C90" s="131" t="str">
        <f>IF(B90="","",_xlfn.LET(_xlpm.v,_xlfn.XLOOKUP(B90,Maestro!$I$11:$I$70,Maestro!$E$11:$E$70,"—"),IF(_xlpm.v="","—",_xlpm.v)))</f>
        <v>—</v>
      </c>
      <c r="D90" s="165" t="str">
        <f>IF(B90="","",SUBSTITUTE(_xlfn.XLOOKUP(B90,Maestro!$I$11:$I$70,Maestro!$C$11:$C$70,"—"),"Facultad de ",""))</f>
        <v/>
      </c>
      <c r="E90" s="134" t="str">
        <f>IF(B90="","",_xlfn.LET(_xlpm.v,_xlfn.XLOOKUP(B90,Maestro!$I$11:$I$70,Maestro!$F$11:$F$70,"—"),IF(_xlpm.v="","—",_xlpm.v)))</f>
        <v>—</v>
      </c>
      <c r="F90" s="134" t="str">
        <f>IF(B90="","",_xlfn.LET(_xlpm.v,_xlfn.XLOOKUP(B90,Maestro!$I$11:$I$70,Maestro!$R$11:$R$70,"—"),IF(_xlpm.v="","—",IF(LEN(_xlpm.v)&gt;1,UPPER(LEFT(_xlpm.v,1))&amp;MID(_xlpm.v,2,LEN(_xlpm.v)),UPPER(_xlpm.v)))))</f>
        <v>—</v>
      </c>
      <c r="G90" s="134" t="str">
        <f>IF(B90="","",_xlfn.LET(_xlpm.v,_xlfn.XLOOKUP(B90,Maestro!$I$11:$I$70,Maestro!$U$11:$U$70,"—"),IF(_xlpm.v="","—",IF(LEN(_xlpm.v)&gt;1,UPPER(LEFT(_xlpm.v,1))&amp;MID(_xlpm.v,2,LEN(_xlpm.v)),UPPER(_xlpm.v)))))</f>
        <v>—</v>
      </c>
      <c r="H90" s="134" t="str">
        <f>IF(B90="","",_xlfn.LET(_xlpm.v,_xlfn.XLOOKUP(B90,Maestro!$I$11:$I$70,Maestro!$AQ$11:$AQ$70,"—"),IF(ISNUMBER(_xlpm.v),TEXT(_xlpm.v,"0%"),IF(_xlpm.v="","—",IF(LEN(_xlpm.v)&gt;1,UPPER(LEFT(_xlpm.v,1))&amp;MID(_xlpm.v,2,LEN(_xlpm.v)),UPPER(_xlpm.v))))))</f>
        <v>—</v>
      </c>
      <c r="I90" s="134" t="str">
        <f>IF(B90="","",_xlfn.LET(_xlpm.v,_xlfn.XLOOKUP(B90,Maestro!$I$11:$I$70,Maestro!$AR$11:$AR$70,"—"),IF(_xlpm.v="","—",IF(LEN(_xlpm.v)&gt;1,UPPER(LEFT(_xlpm.v,1))&amp;MID(_xlpm.v,2,LEN(_xlpm.v)),UPPER(_xlpm.v)))))</f>
        <v>—</v>
      </c>
      <c r="J90" s="134" t="str">
        <f>IF(B90="","",_xlfn.LET(_xlpm.v,_xlfn.XLOOKUP(B90,Maestro!$I$11:$I$70,Maestro!$BD$11:$BD$70,"—"),IF(_xlpm.v="","—",IF(LEN(_xlpm.v)&gt;1,UPPER(LEFT(_xlpm.v,1))&amp;MID(_xlpm.v,2,LEN(_xlpm.v)),UPPER(_xlpm.v)))))</f>
        <v>—</v>
      </c>
      <c r="K90" s="135" t="str">
        <f>IF(B90="","",_xlfn.LET(_xlpm.v,_xlfn.XLOOKUP(B90,Maestro!$I$11:$I$70,Maestro!$BP$11:$BP$70,"—"),IF(_xlpm.v="","—",IF(LEN(_xlpm.v)&gt;1,UPPER(LEFT(_xlpm.v,1))&amp;MID(_xlpm.v,2,LEN(_xlpm.v)),UPPER(_xlpm.v)))))</f>
        <v>—</v>
      </c>
      <c r="L90" s="135" t="str">
        <f t="shared" si="6"/>
        <v>✖ Pendiente</v>
      </c>
    </row>
    <row r="91" spans="2:12" x14ac:dyDescent="0.3">
      <c r="B91" s="162">
        <f>IF(Maestro!I67="","",Maestro!I67)</f>
        <v>3207</v>
      </c>
      <c r="C91" s="153" t="str">
        <f>IF(B91="","",_xlfn.LET(_xlpm.v,_xlfn.XLOOKUP(B91,Maestro!$I$11:$I$70,Maestro!$E$11:$E$70,"—"),IF(_xlpm.v="","—",_xlpm.v)))</f>
        <v>—</v>
      </c>
      <c r="D91" s="164" t="str">
        <f>IF(B91="","",SUBSTITUTE(_xlfn.XLOOKUP(B91,Maestro!$I$11:$I$70,Maestro!$C$11:$C$70,"—"),"Facultad de ",""))</f>
        <v/>
      </c>
      <c r="E91" s="154" t="str">
        <f>IF(B91="","",_xlfn.LET(_xlpm.v,_xlfn.XLOOKUP(B91,Maestro!$I$11:$I$70,Maestro!$F$11:$F$70,"—"),IF(_xlpm.v="","—",_xlpm.v)))</f>
        <v>—</v>
      </c>
      <c r="F91" s="154" t="str">
        <f>IF(B91="","",_xlfn.LET(_xlpm.v,_xlfn.XLOOKUP(B91,Maestro!$I$11:$I$70,Maestro!$R$11:$R$70,"—"),IF(_xlpm.v="","—",IF(LEN(_xlpm.v)&gt;1,UPPER(LEFT(_xlpm.v,1))&amp;MID(_xlpm.v,2,LEN(_xlpm.v)),UPPER(_xlpm.v)))))</f>
        <v>—</v>
      </c>
      <c r="G91" s="154" t="str">
        <f>IF(B91="","",_xlfn.LET(_xlpm.v,_xlfn.XLOOKUP(B91,Maestro!$I$11:$I$70,Maestro!$U$11:$U$70,"—"),IF(_xlpm.v="","—",IF(LEN(_xlpm.v)&gt;1,UPPER(LEFT(_xlpm.v,1))&amp;MID(_xlpm.v,2,LEN(_xlpm.v)),UPPER(_xlpm.v)))))</f>
        <v>—</v>
      </c>
      <c r="H91" s="154" t="str">
        <f>IF(B91="","",_xlfn.LET(_xlpm.v,_xlfn.XLOOKUP(B91,Maestro!$I$11:$I$70,Maestro!$AQ$11:$AQ$70,"—"),IF(ISNUMBER(_xlpm.v),TEXT(_xlpm.v,"0%"),IF(_xlpm.v="","—",IF(LEN(_xlpm.v)&gt;1,UPPER(LEFT(_xlpm.v,1))&amp;MID(_xlpm.v,2,LEN(_xlpm.v)),UPPER(_xlpm.v))))))</f>
        <v>—</v>
      </c>
      <c r="I91" s="154" t="str">
        <f>IF(B91="","",_xlfn.LET(_xlpm.v,_xlfn.XLOOKUP(B91,Maestro!$I$11:$I$70,Maestro!$AR$11:$AR$70,"—"),IF(_xlpm.v="","—",IF(LEN(_xlpm.v)&gt;1,UPPER(LEFT(_xlpm.v,1))&amp;MID(_xlpm.v,2,LEN(_xlpm.v)),UPPER(_xlpm.v)))))</f>
        <v>—</v>
      </c>
      <c r="J91" s="154" t="str">
        <f>IF(B91="","",_xlfn.LET(_xlpm.v,_xlfn.XLOOKUP(B91,Maestro!$I$11:$I$70,Maestro!$BD$11:$BD$70,"—"),IF(_xlpm.v="","—",IF(LEN(_xlpm.v)&gt;1,UPPER(LEFT(_xlpm.v,1))&amp;MID(_xlpm.v,2,LEN(_xlpm.v)),UPPER(_xlpm.v)))))</f>
        <v>—</v>
      </c>
      <c r="K91" s="155" t="str">
        <f>IF(B91="","",_xlfn.LET(_xlpm.v,_xlfn.XLOOKUP(B91,Maestro!$I$11:$I$70,Maestro!$BP$11:$BP$70,"—"),IF(_xlpm.v="","—",IF(LEN(_xlpm.v)&gt;1,UPPER(LEFT(_xlpm.v,1))&amp;MID(_xlpm.v,2,LEN(_xlpm.v)),UPPER(_xlpm.v)))))</f>
        <v>—</v>
      </c>
      <c r="L91" s="155" t="str">
        <f t="shared" si="6"/>
        <v>✖ Pendiente</v>
      </c>
    </row>
    <row r="92" spans="2:12" x14ac:dyDescent="0.3">
      <c r="B92" s="163">
        <f>IF(Maestro!I68="","",Maestro!I68)</f>
        <v>110425</v>
      </c>
      <c r="C92" s="131" t="str">
        <f>IF(B92="","",_xlfn.LET(_xlpm.v,_xlfn.XLOOKUP(B92,Maestro!$I$11:$I$70,Maestro!$E$11:$E$70,"—"),IF(_xlpm.v="","—",_xlpm.v)))</f>
        <v>—</v>
      </c>
      <c r="D92" s="165" t="str">
        <f>IF(B92="","",SUBSTITUTE(_xlfn.XLOOKUP(B92,Maestro!$I$11:$I$70,Maestro!$C$11:$C$70,"—"),"Facultad de ",""))</f>
        <v/>
      </c>
      <c r="E92" s="134" t="str">
        <f>IF(B92="","",_xlfn.LET(_xlpm.v,_xlfn.XLOOKUP(B92,Maestro!$I$11:$I$70,Maestro!$F$11:$F$70,"—"),IF(_xlpm.v="","—",_xlpm.v)))</f>
        <v>—</v>
      </c>
      <c r="F92" s="134" t="str">
        <f>IF(B92="","",_xlfn.LET(_xlpm.v,_xlfn.XLOOKUP(B92,Maestro!$I$11:$I$70,Maestro!$R$11:$R$70,"—"),IF(_xlpm.v="","—",IF(LEN(_xlpm.v)&gt;1,UPPER(LEFT(_xlpm.v,1))&amp;MID(_xlpm.v,2,LEN(_xlpm.v)),UPPER(_xlpm.v)))))</f>
        <v>—</v>
      </c>
      <c r="G92" s="134" t="str">
        <f>IF(B92="","",_xlfn.LET(_xlpm.v,_xlfn.XLOOKUP(B92,Maestro!$I$11:$I$70,Maestro!$U$11:$U$70,"—"),IF(_xlpm.v="","—",IF(LEN(_xlpm.v)&gt;1,UPPER(LEFT(_xlpm.v,1))&amp;MID(_xlpm.v,2,LEN(_xlpm.v)),UPPER(_xlpm.v)))))</f>
        <v>—</v>
      </c>
      <c r="H92" s="134" t="str">
        <f>IF(B92="","",_xlfn.LET(_xlpm.v,_xlfn.XLOOKUP(B92,Maestro!$I$11:$I$70,Maestro!$AQ$11:$AQ$70,"—"),IF(ISNUMBER(_xlpm.v),TEXT(_xlpm.v,"0%"),IF(_xlpm.v="","—",IF(LEN(_xlpm.v)&gt;1,UPPER(LEFT(_xlpm.v,1))&amp;MID(_xlpm.v,2,LEN(_xlpm.v)),UPPER(_xlpm.v))))))</f>
        <v>—</v>
      </c>
      <c r="I92" s="134" t="str">
        <f>IF(B92="","",_xlfn.LET(_xlpm.v,_xlfn.XLOOKUP(B92,Maestro!$I$11:$I$70,Maestro!$AR$11:$AR$70,"—"),IF(_xlpm.v="","—",IF(LEN(_xlpm.v)&gt;1,UPPER(LEFT(_xlpm.v,1))&amp;MID(_xlpm.v,2,LEN(_xlpm.v)),UPPER(_xlpm.v)))))</f>
        <v>—</v>
      </c>
      <c r="J92" s="134" t="str">
        <f>IF(B92="","",_xlfn.LET(_xlpm.v,_xlfn.XLOOKUP(B92,Maestro!$I$11:$I$70,Maestro!$BD$11:$BD$70,"—"),IF(_xlpm.v="","—",IF(LEN(_xlpm.v)&gt;1,UPPER(LEFT(_xlpm.v,1))&amp;MID(_xlpm.v,2,LEN(_xlpm.v)),UPPER(_xlpm.v)))))</f>
        <v>—</v>
      </c>
      <c r="K92" s="135" t="str">
        <f>IF(B92="","",_xlfn.LET(_xlpm.v,_xlfn.XLOOKUP(B92,Maestro!$I$11:$I$70,Maestro!$BP$11:$BP$70,"—"),IF(_xlpm.v="","—",IF(LEN(_xlpm.v)&gt;1,UPPER(LEFT(_xlpm.v,1))&amp;MID(_xlpm.v,2,LEN(_xlpm.v)),UPPER(_xlpm.v)))))</f>
        <v>—</v>
      </c>
      <c r="L92" s="135" t="str">
        <f t="shared" si="6"/>
        <v>✖ Pendiente</v>
      </c>
    </row>
    <row r="93" spans="2:12" x14ac:dyDescent="0.3">
      <c r="B93" s="162">
        <f>IF(Maestro!I69="","",Maestro!I69)</f>
        <v>110425</v>
      </c>
      <c r="C93" s="153" t="str">
        <f>IF(B93="","",_xlfn.LET(_xlpm.v,_xlfn.XLOOKUP(B93,Maestro!$I$11:$I$70,Maestro!$E$11:$E$70,"—"),IF(_xlpm.v="","—",_xlpm.v)))</f>
        <v>—</v>
      </c>
      <c r="D93" s="164" t="str">
        <f>IF(B93="","",SUBSTITUTE(_xlfn.XLOOKUP(B93,Maestro!$I$11:$I$70,Maestro!$C$11:$C$70,"—"),"Facultad de ",""))</f>
        <v/>
      </c>
      <c r="E93" s="154" t="str">
        <f>IF(B93="","",_xlfn.LET(_xlpm.v,_xlfn.XLOOKUP(B93,Maestro!$I$11:$I$70,Maestro!$F$11:$F$70,"—"),IF(_xlpm.v="","—",_xlpm.v)))</f>
        <v>—</v>
      </c>
      <c r="F93" s="154" t="str">
        <f>IF(B93="","",_xlfn.LET(_xlpm.v,_xlfn.XLOOKUP(B93,Maestro!$I$11:$I$70,Maestro!$R$11:$R$70,"—"),IF(_xlpm.v="","—",IF(LEN(_xlpm.v)&gt;1,UPPER(LEFT(_xlpm.v,1))&amp;MID(_xlpm.v,2,LEN(_xlpm.v)),UPPER(_xlpm.v)))))</f>
        <v>—</v>
      </c>
      <c r="G93" s="154" t="str">
        <f>IF(B93="","",_xlfn.LET(_xlpm.v,_xlfn.XLOOKUP(B93,Maestro!$I$11:$I$70,Maestro!$U$11:$U$70,"—"),IF(_xlpm.v="","—",IF(LEN(_xlpm.v)&gt;1,UPPER(LEFT(_xlpm.v,1))&amp;MID(_xlpm.v,2,LEN(_xlpm.v)),UPPER(_xlpm.v)))))</f>
        <v>—</v>
      </c>
      <c r="H93" s="154" t="str">
        <f>IF(B93="","",_xlfn.LET(_xlpm.v,_xlfn.XLOOKUP(B93,Maestro!$I$11:$I$70,Maestro!$AQ$11:$AQ$70,"—"),IF(ISNUMBER(_xlpm.v),TEXT(_xlpm.v,"0%"),IF(_xlpm.v="","—",IF(LEN(_xlpm.v)&gt;1,UPPER(LEFT(_xlpm.v,1))&amp;MID(_xlpm.v,2,LEN(_xlpm.v)),UPPER(_xlpm.v))))))</f>
        <v>—</v>
      </c>
      <c r="I93" s="154" t="str">
        <f>IF(B93="","",_xlfn.LET(_xlpm.v,_xlfn.XLOOKUP(B93,Maestro!$I$11:$I$70,Maestro!$AR$11:$AR$70,"—"),IF(_xlpm.v="","—",IF(LEN(_xlpm.v)&gt;1,UPPER(LEFT(_xlpm.v,1))&amp;MID(_xlpm.v,2,LEN(_xlpm.v)),UPPER(_xlpm.v)))))</f>
        <v>—</v>
      </c>
      <c r="J93" s="154" t="str">
        <f>IF(B93="","",_xlfn.LET(_xlpm.v,_xlfn.XLOOKUP(B93,Maestro!$I$11:$I$70,Maestro!$BD$11:$BD$70,"—"),IF(_xlpm.v="","—",IF(LEN(_xlpm.v)&gt;1,UPPER(LEFT(_xlpm.v,1))&amp;MID(_xlpm.v,2,LEN(_xlpm.v)),UPPER(_xlpm.v)))))</f>
        <v>—</v>
      </c>
      <c r="K93" s="155" t="str">
        <f>IF(B93="","",_xlfn.LET(_xlpm.v,_xlfn.XLOOKUP(B93,Maestro!$I$11:$I$70,Maestro!$BP$11:$BP$70,"—"),IF(_xlpm.v="","—",IF(LEN(_xlpm.v)&gt;1,UPPER(LEFT(_xlpm.v,1))&amp;MID(_xlpm.v,2,LEN(_xlpm.v)),UPPER(_xlpm.v)))))</f>
        <v>—</v>
      </c>
      <c r="L93" s="155" t="str">
        <f t="shared" si="6"/>
        <v>✖ Pendiente</v>
      </c>
    </row>
    <row r="94" spans="2:12" x14ac:dyDescent="0.3">
      <c r="B94" s="163">
        <f>IF(Maestro!I70="","",Maestro!I70)</f>
        <v>54768</v>
      </c>
      <c r="C94" s="131" t="str">
        <f>IF(B94="","",_xlfn.LET(_xlpm.v,_xlfn.XLOOKUP(B94,Maestro!$I$11:$I$70,Maestro!$E$11:$E$70,"—"),IF(_xlpm.v="","—",_xlpm.v)))</f>
        <v>Especialización en Gerencia de Mercadeo</v>
      </c>
      <c r="D94" s="165" t="str">
        <f>IF(B94="","",SUBSTITUTE(_xlfn.XLOOKUP(B94,Maestro!$I$11:$I$70,Maestro!$C$11:$C$70,"—"),"Facultad de ",""))</f>
        <v>Sociedad, Cultura y Creatividad</v>
      </c>
      <c r="E94" s="134" t="str">
        <f>IF(B94="","",_xlfn.LET(_xlpm.v,_xlfn.XLOOKUP(B94,Maestro!$I$11:$I$70,Maestro!$F$11:$F$70,"—"),IF(_xlpm.v="","—",_xlpm.v)))</f>
        <v>Virtual</v>
      </c>
      <c r="F94" s="134" t="str">
        <f>IF(B94="","",_xlfn.LET(_xlpm.v,_xlfn.XLOOKUP(B94,Maestro!$I$11:$I$70,Maestro!$R$11:$R$70,"—"),IF(_xlpm.v="","—",IF(LEN(_xlpm.v)&gt;1,UPPER(LEFT(_xlpm.v,1))&amp;MID(_xlpm.v,2,LEN(_xlpm.v)),UPPER(_xlpm.v)))))</f>
        <v>—</v>
      </c>
      <c r="G94" s="134" t="str">
        <f>IF(B94="","",_xlfn.LET(_xlpm.v,_xlfn.XLOOKUP(B94,Maestro!$I$11:$I$70,Maestro!$U$11:$U$70,"—"),IF(_xlpm.v="","—",IF(LEN(_xlpm.v)&gt;1,UPPER(LEFT(_xlpm.v,1))&amp;MID(_xlpm.v,2,LEN(_xlpm.v)),UPPER(_xlpm.v)))))</f>
        <v>Finalizado</v>
      </c>
      <c r="H94" s="134" t="str">
        <f>IF(B94="","",_xlfn.LET(_xlpm.v,_xlfn.XLOOKUP(B94,Maestro!$I$11:$I$70,Maestro!$AQ$11:$AQ$70,"—"),IF(ISNUMBER(_xlpm.v),TEXT(_xlpm.v,"0%"),IF(_xlpm.v="","—",IF(LEN(_xlpm.v)&gt;1,UPPER(LEFT(_xlpm.v,1))&amp;MID(_xlpm.v,2,LEN(_xlpm.v)),UPPER(_xlpm.v))))))</f>
        <v>—</v>
      </c>
      <c r="I94" s="134" t="str">
        <f>IF(B94="","",_xlfn.LET(_xlpm.v,_xlfn.XLOOKUP(B94,Maestro!$I$11:$I$70,Maestro!$AR$11:$AR$70,"—"),IF(_xlpm.v="","—",IF(LEN(_xlpm.v)&gt;1,UPPER(LEFT(_xlpm.v,1))&amp;MID(_xlpm.v,2,LEN(_xlpm.v)),UPPER(_xlpm.v)))))</f>
        <v>—</v>
      </c>
      <c r="J94" s="134" t="str">
        <f>IF(B94="","",_xlfn.LET(_xlpm.v,_xlfn.XLOOKUP(B94,Maestro!$I$11:$I$70,Maestro!$BD$11:$BD$70,"—"),IF(_xlpm.v="","—",IF(LEN(_xlpm.v)&gt;1,UPPER(LEFT(_xlpm.v,1))&amp;MID(_xlpm.v,2,LEN(_xlpm.v)),UPPER(_xlpm.v)))))</f>
        <v>—</v>
      </c>
      <c r="K94" s="135" t="str">
        <f>IF(B94="","",_xlfn.LET(_xlpm.v,_xlfn.XLOOKUP(B94,Maestro!$I$11:$I$70,Maestro!$BP$11:$BP$70,"—"),IF(_xlpm.v="","—",IF(LEN(_xlpm.v)&gt;1,UPPER(LEFT(_xlpm.v,1))&amp;MID(_xlpm.v,2,LEN(_xlpm.v)),UPPER(_xlpm.v)))))</f>
        <v>Sin iniciar</v>
      </c>
      <c r="L94" s="135" t="str">
        <f t="shared" si="6"/>
        <v>⏳ 1/6</v>
      </c>
    </row>
    <row r="95" spans="2:12" x14ac:dyDescent="0.3">
      <c r="F95"/>
      <c r="G95"/>
      <c r="H95"/>
      <c r="I95"/>
      <c r="J95"/>
    </row>
    <row r="96" spans="2:12" x14ac:dyDescent="0.3">
      <c r="F96"/>
      <c r="G96"/>
      <c r="H96"/>
      <c r="I96"/>
      <c r="J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</sheetData>
  <mergeCells count="3">
    <mergeCell ref="D20:F20"/>
    <mergeCell ref="G20:I20"/>
    <mergeCell ref="J20:L20"/>
  </mergeCells>
  <conditionalFormatting sqref="F35:K94">
    <cfRule type="containsText" dxfId="624" priority="1" operator="containsText" text="Finalizado">
      <formula>NOT(ISERROR(SEARCH("Finalizado",F35)))</formula>
    </cfRule>
    <cfRule type="containsText" dxfId="623" priority="2" operator="containsText" text="En proceso">
      <formula>NOT(ISERROR(SEARCH("En proceso",F35)))</formula>
    </cfRule>
    <cfRule type="containsText" dxfId="622" priority="3" operator="containsText" text="Sin iniciar">
      <formula>NOT(ISERROR(SEARCH("Sin iniciar",F35)))</formula>
    </cfRule>
  </conditionalFormatting>
  <conditionalFormatting sqref="L35:L94">
    <cfRule type="containsText" dxfId="621" priority="4" operator="containsText" text="Completo">
      <formula>NOT(ISERROR(SEARCH("Completo",L35)))</formula>
    </cfRule>
    <cfRule type="containsText" dxfId="620" priority="5" operator="containsText" text="⏳">
      <formula>NOT(ISERROR(SEARCH("⏳",L35)))</formula>
    </cfRule>
    <cfRule type="containsText" dxfId="619" priority="6" operator="containsText" text="Pendiente">
      <formula>NOT(ISERROR(SEARCH("Pendiente",L35)))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F4C8-C4D9-4718-9A45-DE15ED66A68A}">
  <sheetPr codeName="Hoja3"/>
  <dimension ref="C3:BZ83"/>
  <sheetViews>
    <sheetView showGridLines="0" topLeftCell="A9" zoomScale="70" zoomScaleNormal="70" workbookViewId="0">
      <pane xSplit="5" ySplit="2" topLeftCell="J11" activePane="bottomRight" state="frozen"/>
      <selection pane="topRight" activeCell="G62" sqref="G62"/>
      <selection pane="bottomLeft" activeCell="G62" sqref="G62"/>
      <selection pane="bottomRight" activeCell="U11" sqref="U11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4.44140625" style="76" bestFit="1" customWidth="1"/>
    <col min="10" max="18" width="15.5546875" style="1" customWidth="1"/>
    <col min="19" max="28" width="18.44140625" customWidth="1"/>
    <col min="29" max="40" width="17.44140625" customWidth="1"/>
    <col min="41" max="41" width="9.5546875" customWidth="1"/>
    <col min="42" max="42" width="8.5546875" customWidth="1"/>
    <col min="43" max="43" width="17.44140625" customWidth="1"/>
    <col min="44" max="44" width="13.5546875" customWidth="1"/>
    <col min="45" max="45" width="19.5546875" customWidth="1"/>
    <col min="46" max="46" width="25.5546875" customWidth="1"/>
    <col min="47" max="47" width="17.44140625" customWidth="1"/>
    <col min="48" max="51" width="14.5546875" customWidth="1"/>
    <col min="52" max="55" width="21.5546875" customWidth="1"/>
    <col min="71" max="71" width="18.5546875" customWidth="1"/>
    <col min="72" max="72" width="19.5546875" bestFit="1" customWidth="1"/>
    <col min="73" max="73" width="17.5546875" bestFit="1" customWidth="1"/>
    <col min="74" max="74" width="18.44140625" bestFit="1" customWidth="1"/>
  </cols>
  <sheetData>
    <row r="3" spans="3:78" ht="32.85" customHeight="1" x14ac:dyDescent="0.3">
      <c r="O3" s="381" t="s">
        <v>191</v>
      </c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  <c r="AB3" s="381"/>
      <c r="AC3" s="381"/>
    </row>
    <row r="4" spans="3:78" x14ac:dyDescent="0.3">
      <c r="J4" s="3" t="s">
        <v>192</v>
      </c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1"/>
      <c r="Z4" s="381"/>
      <c r="AA4" s="381"/>
      <c r="AB4" s="381"/>
      <c r="AC4" s="381"/>
    </row>
    <row r="5" spans="3:78" x14ac:dyDescent="0.3">
      <c r="J5" s="3" t="s">
        <v>193</v>
      </c>
    </row>
    <row r="6" spans="3:78" x14ac:dyDescent="0.3">
      <c r="J6" s="3" t="s">
        <v>194</v>
      </c>
    </row>
    <row r="7" spans="3:78" ht="14.85" customHeight="1" x14ac:dyDescent="0.3">
      <c r="C7" s="4"/>
      <c r="D7" s="4"/>
      <c r="E7" s="4"/>
      <c r="F7" s="4"/>
      <c r="G7" s="4"/>
      <c r="H7" s="4"/>
      <c r="I7" s="75"/>
    </row>
    <row r="8" spans="3:78" ht="43.5" customHeight="1" x14ac:dyDescent="0.3">
      <c r="C8" s="4"/>
      <c r="D8" s="4"/>
      <c r="E8" s="4"/>
      <c r="F8" s="4"/>
      <c r="G8" s="4"/>
      <c r="H8" s="4"/>
      <c r="I8" s="75"/>
      <c r="J8" s="408" t="s">
        <v>195</v>
      </c>
      <c r="K8" s="408"/>
      <c r="L8" s="408"/>
      <c r="M8" s="408"/>
      <c r="N8" s="408"/>
      <c r="O8" s="408"/>
      <c r="P8" s="408"/>
      <c r="Q8" s="408"/>
      <c r="R8" s="408"/>
      <c r="S8" s="5" t="s">
        <v>196</v>
      </c>
      <c r="T8" s="5"/>
      <c r="U8" s="5"/>
      <c r="V8" s="18" t="s">
        <v>197</v>
      </c>
      <c r="W8" s="73"/>
      <c r="X8" s="73"/>
      <c r="Y8" s="73"/>
      <c r="Z8" s="73"/>
      <c r="AA8" s="73"/>
      <c r="AB8" s="73"/>
      <c r="AC8" s="412" t="s">
        <v>198</v>
      </c>
      <c r="AD8" s="413"/>
      <c r="AE8" s="413"/>
      <c r="AF8" s="413"/>
      <c r="AG8" s="413"/>
      <c r="AH8" s="414"/>
      <c r="AI8" s="415" t="s">
        <v>199</v>
      </c>
      <c r="AJ8" s="167"/>
      <c r="AK8" s="167"/>
      <c r="AL8" s="417" t="s">
        <v>200</v>
      </c>
      <c r="AM8" s="418"/>
      <c r="AN8" s="418"/>
      <c r="AO8" s="418"/>
      <c r="AP8" s="418"/>
      <c r="AQ8" s="418"/>
      <c r="AR8" s="405" t="s">
        <v>201</v>
      </c>
      <c r="AS8" s="405"/>
      <c r="AT8" s="405"/>
      <c r="AU8" s="405"/>
      <c r="AV8" s="405"/>
      <c r="AW8" s="405"/>
      <c r="AX8" s="405"/>
      <c r="AY8" s="405"/>
      <c r="AZ8" s="405"/>
      <c r="BA8" s="171"/>
      <c r="BB8" s="171"/>
      <c r="BC8" s="171"/>
      <c r="BD8" s="402" t="s">
        <v>202</v>
      </c>
      <c r="BE8" s="402"/>
      <c r="BF8" s="402"/>
      <c r="BG8" s="402"/>
      <c r="BH8" s="402"/>
      <c r="BI8" s="402"/>
      <c r="BJ8" s="402"/>
      <c r="BK8" s="402"/>
      <c r="BL8" s="402"/>
      <c r="BM8" s="402"/>
      <c r="BN8" s="402"/>
      <c r="BO8" s="402"/>
      <c r="BP8" s="402"/>
      <c r="BQ8" s="392" t="s">
        <v>203</v>
      </c>
      <c r="BR8" s="392"/>
      <c r="BS8" s="392"/>
      <c r="BT8" s="14"/>
      <c r="BU8" s="14"/>
      <c r="BV8" s="14"/>
      <c r="BW8" s="14"/>
    </row>
    <row r="9" spans="3:78" s="2" customFormat="1" ht="58.35" customHeight="1" x14ac:dyDescent="0.3">
      <c r="C9" s="407" t="s">
        <v>204</v>
      </c>
      <c r="D9" s="407"/>
      <c r="E9" s="407"/>
      <c r="F9" s="407"/>
      <c r="G9" s="407"/>
      <c r="H9" s="407"/>
      <c r="I9" s="407"/>
      <c r="J9" s="408" t="s">
        <v>18</v>
      </c>
      <c r="K9" s="408"/>
      <c r="L9" s="408"/>
      <c r="M9" s="408"/>
      <c r="N9" s="408"/>
      <c r="O9" s="408"/>
      <c r="P9" s="408"/>
      <c r="Q9" s="408"/>
      <c r="R9" s="408"/>
      <c r="S9" s="409" t="s">
        <v>205</v>
      </c>
      <c r="T9" s="410" t="s">
        <v>206</v>
      </c>
      <c r="U9" s="410" t="s">
        <v>158</v>
      </c>
      <c r="V9" s="410" t="s">
        <v>207</v>
      </c>
      <c r="W9" s="180"/>
      <c r="X9" s="180"/>
      <c r="Y9" s="180"/>
      <c r="Z9" s="180"/>
      <c r="AA9" s="412" t="s">
        <v>208</v>
      </c>
      <c r="AB9" s="413"/>
      <c r="AC9" s="413"/>
      <c r="AD9" s="413"/>
      <c r="AE9" s="413"/>
      <c r="AF9" s="413"/>
      <c r="AG9" s="413"/>
      <c r="AH9" s="414"/>
      <c r="AI9" s="416"/>
      <c r="AJ9" s="169"/>
      <c r="AK9" s="169"/>
      <c r="AL9" s="419" t="s">
        <v>209</v>
      </c>
      <c r="AM9" s="419"/>
      <c r="AN9" s="419"/>
      <c r="AO9" s="419"/>
      <c r="AP9" s="419"/>
      <c r="AQ9" s="419"/>
      <c r="AR9" s="406" t="s">
        <v>201</v>
      </c>
      <c r="AS9" s="406"/>
      <c r="AT9" s="406"/>
      <c r="AU9" s="406"/>
      <c r="AV9" s="406"/>
      <c r="AW9" s="406"/>
      <c r="AX9" s="406"/>
      <c r="AY9" s="406"/>
      <c r="AZ9" s="406"/>
      <c r="BA9" s="172"/>
      <c r="BB9" s="172"/>
      <c r="BC9" s="172"/>
      <c r="BD9" s="403" t="s">
        <v>210</v>
      </c>
      <c r="BE9" s="403"/>
      <c r="BF9" s="403"/>
      <c r="BG9" s="403"/>
      <c r="BH9" s="403"/>
      <c r="BI9" s="403"/>
      <c r="BJ9" s="403"/>
      <c r="BK9" s="403"/>
      <c r="BL9" s="403"/>
      <c r="BM9" s="403"/>
      <c r="BN9" s="403"/>
      <c r="BO9" s="403"/>
      <c r="BP9" s="403"/>
      <c r="BQ9" s="404" t="s">
        <v>211</v>
      </c>
      <c r="BR9" s="404"/>
      <c r="BS9" s="404"/>
      <c r="BT9" s="400" t="s">
        <v>212</v>
      </c>
      <c r="BU9" s="400" t="s">
        <v>213</v>
      </c>
      <c r="BV9" s="400" t="s">
        <v>214</v>
      </c>
      <c r="BW9" s="401" t="s">
        <v>215</v>
      </c>
      <c r="BZ9" s="2" t="s">
        <v>216</v>
      </c>
    </row>
    <row r="10" spans="3:78" ht="62.85" customHeight="1" x14ac:dyDescent="0.3">
      <c r="C10" s="7" t="s">
        <v>217</v>
      </c>
      <c r="D10" s="7" t="s">
        <v>218</v>
      </c>
      <c r="E10" s="7" t="s">
        <v>219</v>
      </c>
      <c r="F10" s="7" t="s">
        <v>220</v>
      </c>
      <c r="G10" s="7" t="s">
        <v>221</v>
      </c>
      <c r="H10" s="7" t="s">
        <v>222</v>
      </c>
      <c r="I10" s="67" t="s">
        <v>223</v>
      </c>
      <c r="J10" s="8" t="s">
        <v>224</v>
      </c>
      <c r="K10" s="8" t="s">
        <v>225</v>
      </c>
      <c r="L10" s="8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" t="s">
        <v>231</v>
      </c>
      <c r="R10" s="8" t="s">
        <v>232</v>
      </c>
      <c r="S10" s="409"/>
      <c r="T10" s="411"/>
      <c r="U10" s="411"/>
      <c r="V10" s="411"/>
      <c r="W10" s="170" t="s">
        <v>205</v>
      </c>
      <c r="X10" s="170" t="s">
        <v>206</v>
      </c>
      <c r="Y10" s="170" t="s">
        <v>158</v>
      </c>
      <c r="Z10" s="170" t="s">
        <v>233</v>
      </c>
      <c r="AA10" s="66" t="s">
        <v>234</v>
      </c>
      <c r="AB10" s="66" t="s">
        <v>235</v>
      </c>
      <c r="AC10" s="66" t="s">
        <v>236</v>
      </c>
      <c r="AD10" s="9" t="s">
        <v>237</v>
      </c>
      <c r="AE10" s="9"/>
      <c r="AF10" s="9" t="s">
        <v>238</v>
      </c>
      <c r="AG10" s="9" t="s">
        <v>239</v>
      </c>
      <c r="AH10" s="66" t="s">
        <v>240</v>
      </c>
      <c r="AI10" s="72" t="s">
        <v>241</v>
      </c>
      <c r="AJ10" s="72"/>
      <c r="AK10" s="72"/>
      <c r="AL10" s="6" t="s">
        <v>242</v>
      </c>
      <c r="AM10" s="6" t="s">
        <v>243</v>
      </c>
      <c r="AN10" s="6" t="s">
        <v>244</v>
      </c>
      <c r="AO10" s="6" t="s">
        <v>245</v>
      </c>
      <c r="AP10" s="6" t="s">
        <v>246</v>
      </c>
      <c r="AQ10" s="6" t="s">
        <v>247</v>
      </c>
      <c r="AR10" s="15" t="s">
        <v>159</v>
      </c>
      <c r="AS10" s="15" t="s">
        <v>248</v>
      </c>
      <c r="AT10" s="15" t="s">
        <v>249</v>
      </c>
      <c r="AU10" s="16" t="s">
        <v>250</v>
      </c>
      <c r="AV10" s="16" t="s">
        <v>251</v>
      </c>
      <c r="AW10" s="16"/>
      <c r="AX10" s="16"/>
      <c r="AY10" s="16"/>
      <c r="AZ10" s="16" t="s">
        <v>247</v>
      </c>
      <c r="BA10" s="16" t="s">
        <v>160</v>
      </c>
      <c r="BB10" s="16"/>
      <c r="BC10" s="16"/>
      <c r="BD10" s="10" t="s">
        <v>252</v>
      </c>
      <c r="BE10" s="10" t="s">
        <v>163</v>
      </c>
      <c r="BF10" s="10" t="s">
        <v>164</v>
      </c>
      <c r="BG10" s="10" t="s">
        <v>253</v>
      </c>
      <c r="BH10" s="10" t="s">
        <v>254</v>
      </c>
      <c r="BI10" s="10" t="s">
        <v>255</v>
      </c>
      <c r="BJ10" s="10" t="s">
        <v>256</v>
      </c>
      <c r="BK10" s="10" t="s">
        <v>257</v>
      </c>
      <c r="BL10" s="10" t="s">
        <v>258</v>
      </c>
      <c r="BM10" s="10"/>
      <c r="BN10" s="10"/>
      <c r="BO10" s="10"/>
      <c r="BP10" s="10" t="s">
        <v>255</v>
      </c>
      <c r="BQ10" s="17" t="s">
        <v>257</v>
      </c>
      <c r="BR10" s="17" t="s">
        <v>258</v>
      </c>
      <c r="BS10" s="17" t="s">
        <v>259</v>
      </c>
      <c r="BT10" s="400"/>
      <c r="BU10" s="400"/>
      <c r="BV10" s="400"/>
      <c r="BW10" s="401"/>
    </row>
    <row r="11" spans="3:78" ht="52.35" customHeight="1" x14ac:dyDescent="0.3">
      <c r="C11" s="22" t="str">
        <f>IFERROR(_xlfn.XLOOKUP($I11,#REF!,#REF!,""),"")</f>
        <v/>
      </c>
      <c r="D11" s="19" t="str">
        <f>IFERROR(_xlfn.XLOOKUP($I11,#REF!,#REF!,""),"")</f>
        <v/>
      </c>
      <c r="E11" s="23" t="str">
        <f>IFERROR(_xlfn.XLOOKUP($I11,#REF!,#REF!,""),"")</f>
        <v/>
      </c>
      <c r="F11" s="19" t="str">
        <f>IFERROR(_xlfn.XLOOKUP($I11,#REF!,#REF!,""),"")</f>
        <v/>
      </c>
      <c r="G11" s="19" t="str">
        <f>IFERROR(_xlfn.XLOOKUP($I11,#REF!,#REF!,""),"")</f>
        <v/>
      </c>
      <c r="H11" s="19" t="str">
        <f>IFERROR(_xlfn.XLOOKUP($I11,#REF!,#REF!,""),"")</f>
        <v/>
      </c>
      <c r="I11" s="77">
        <v>111231</v>
      </c>
      <c r="J11" s="12" t="str" cm="1">
        <f t="array" ref="J11">IFERROR(_xlfn.XLOOKUP($I11,#REF!,_xlfn.XLOOKUP(J$10,#REF!,#REF!,"",0,1),""),"")</f>
        <v/>
      </c>
      <c r="K11" s="12" t="str" cm="1">
        <f t="array" ref="K11">IFERROR(_xlfn.XLOOKUP($I11,#REF!,_xlfn.XLOOKUP(K$10,#REF!,#REF!,"",0,1),""),"")</f>
        <v/>
      </c>
      <c r="L11" s="12" t="str" cm="1">
        <f t="array" ref="L11">IFERROR(_xlfn.XLOOKUP($I11,#REF!,_xlfn.XLOOKUP(L$10,#REF!,#REF!,"",0,1),""),"")</f>
        <v/>
      </c>
      <c r="M11" s="36" t="str" cm="1">
        <f t="array" ref="M11">IFERROR(_xlfn.XLOOKUP($I11,#REF!,_xlfn.XLOOKUP(M$10,#REF!,#REF!,"",0,1),""),"")</f>
        <v/>
      </c>
      <c r="N11" s="37" t="str" cm="1">
        <f t="array" ref="N11">IFERROR(_xlfn.XLOOKUP($I11,#REF!,_xlfn.XLOOKUP(N$10,#REF!,#REF!,"",0,1),""),"")</f>
        <v/>
      </c>
      <c r="O11" s="12" t="str" cm="1">
        <f t="array" ref="O11">IFERROR(_xlfn.XLOOKUP($I11,#REF!,_xlfn.XLOOKUP(O$10,#REF!,#REF!,"",0,1),""),"")</f>
        <v/>
      </c>
      <c r="P11" s="12" t="str" cm="1">
        <f t="array" ref="P11">IFERROR(_xlfn.XLOOKUP($I11,#REF!,_xlfn.XLOOKUP(P$10,#REF!,#REF!,"",0,1),""),"")</f>
        <v/>
      </c>
      <c r="Q11" s="12" t="str" cm="1">
        <f t="array" ref="Q11">IFERROR(_xlfn.XLOOKUP($I11,#REF!,_xlfn.XLOOKUP(Q$10,#REF!,#REF!,"",0,1),""),"")</f>
        <v/>
      </c>
      <c r="R11" s="12" t="str" cm="1">
        <f t="array" ref="R11">IFERROR(_xlfn.XLOOKUP($I11,#REF!,_xlfn.XLOOKUP(R$10,#REF!,#REF!,"",0,1),""),"")</f>
        <v/>
      </c>
      <c r="S11" s="12" t="str">
        <f>IFERROR(_xlfn.XLOOKUP($I11,#REF!,#REF!,""),"")</f>
        <v/>
      </c>
      <c r="T11" s="12" t="str">
        <f>IFERROR(_xlfn.XLOOKUP($I11,#REF!,#REF!,""),"")</f>
        <v/>
      </c>
      <c r="U11" s="12" t="str">
        <f>IFERROR(_xlfn.XLOOKUP($I11,#REF!,#REF!,""),"")</f>
        <v/>
      </c>
      <c r="V11" s="12" t="str">
        <f>IFERROR(_xlfn.XLOOKUP($I11,#REF!,#REF!,""),"")</f>
        <v/>
      </c>
      <c r="W11" s="74" t="str" cm="1">
        <f t="array" ref="W11">IFERROR(_xlfn.XLOOKUP($I11,#REF!,_xlfn.XLOOKUP(W$10,#REF!,#REF!,"",0,1),""),"")</f>
        <v/>
      </c>
      <c r="X11" s="74" t="str" cm="1">
        <f t="array" ref="X11">IFERROR(_xlfn.XLOOKUP($I11,#REF!,_xlfn.XLOOKUP(X$10,#REF!,#REF!,"",0,1),""),"")</f>
        <v/>
      </c>
      <c r="Y11" s="74" t="str" cm="1">
        <f t="array" ref="Y11">IFERROR(_xlfn.XLOOKUP($I11,#REF!,_xlfn.XLOOKUP(Y$10,#REF!,#REF!,"",0,1),""),"")</f>
        <v/>
      </c>
      <c r="Z11" s="74" t="str" cm="1">
        <f t="array" ref="Z11">IFERROR(_xlfn.XLOOKUP($I11,#REF!,_xlfn.XLOOKUP(Z$10,#REF!,#REF!,"",0,1),""),"")</f>
        <v/>
      </c>
      <c r="AA11" s="74" t="str" cm="1">
        <f t="array" ref="AA11">IFERROR(_xlfn.XLOOKUP($I11,#REF!,_xlfn.XLOOKUP(AA$10,#REF!,#REF!,"",0,1),""),"")</f>
        <v/>
      </c>
      <c r="AB11" s="12" t="str" cm="1">
        <f t="array" ref="AB11">IFERROR(_xlfn.XLOOKUP($I11,#REF!,_xlfn.XLOOKUP(AB$10,#REF!,#REF!,"",0,1),""),"")</f>
        <v/>
      </c>
      <c r="AC11" s="52" t="str" cm="1">
        <f t="array" ref="AC11">IFERROR(_xlfn.XLOOKUP($I11,#REF!,_xlfn.XLOOKUP(AC$10,#REF!,#REF!,"",0,1),""),"")</f>
        <v/>
      </c>
      <c r="AD11" s="12" t="str" cm="1">
        <f t="array" ref="AD11">IFERROR(_xlfn.XLOOKUP($I11,#REF!,_xlfn.XLOOKUP(AD$10,#REF!,#REF!,"",0,1),""),"")</f>
        <v/>
      </c>
      <c r="AE11" s="12"/>
      <c r="AF11" s="12" t="str" cm="1">
        <f t="array" ref="AF11">IFERROR(_xlfn.XLOOKUP($I11,#REF!,_xlfn.XLOOKUP(AF$10,#REF!,#REF!,"",0,1),""),"")</f>
        <v/>
      </c>
      <c r="AG11" s="12" t="str" cm="1">
        <f t="array" ref="AG11">IFERROR(_xlfn.XLOOKUP($I11,#REF!,_xlfn.XLOOKUP(AG$10,#REF!,#REF!,"",0,1),""),"")</f>
        <v/>
      </c>
      <c r="AH11" s="12" t="str" cm="1">
        <f t="array" ref="AH11">IFERROR(_xlfn.XLOOKUP($I11,#REF!,_xlfn.XLOOKUP(AH$10,#REF!,#REF!,"",0,1),""),"")</f>
        <v/>
      </c>
      <c r="AI11" s="12" t="str" cm="1">
        <f t="array" ref="AI11">IFERROR(_xlfn.XLOOKUP($I11,#REF!,_xlfn.XLOOKUP(AI$10,#REF!,#REF!,"",0,1),""),"")</f>
        <v/>
      </c>
      <c r="AJ11" s="12"/>
      <c r="AK11" s="12"/>
      <c r="AL11" s="11" t="str" cm="1">
        <f t="array" ref="AL11">IFERROR(_xlfn.XLOOKUP($I11,#REF!,_xlfn.XLOOKUP(AL$10,#REF!,#REF!,"",0,1),""),"")</f>
        <v/>
      </c>
      <c r="AM11" s="11" t="str" cm="1">
        <f t="array" ref="AM11">IFERROR(_xlfn.XLOOKUP($I11,#REF!,_xlfn.XLOOKUP(AM$10,#REF!,#REF!,"",0,1),""),"")</f>
        <v/>
      </c>
      <c r="AN11" s="11" t="str" cm="1">
        <f t="array" ref="AN11">IFERROR(_xlfn.XLOOKUP($I11,#REF!,_xlfn.XLOOKUP(AN$10,#REF!,#REF!,"",0,1),""),"")</f>
        <v/>
      </c>
      <c r="AO11" s="11" t="str" cm="1">
        <f t="array" ref="AO11">IFERROR(_xlfn.XLOOKUP($I11,#REF!,_xlfn.XLOOKUP(AO$10,#REF!,#REF!,"",0,1),""),"")</f>
        <v/>
      </c>
      <c r="AP11" s="11" t="str" cm="1">
        <f t="array" ref="AP11">IFERROR(_xlfn.XLOOKUP($I11,#REF!,_xlfn.XLOOKUP(AP$10,#REF!,#REF!,"",0,1),""),"")</f>
        <v/>
      </c>
      <c r="AQ11" s="11" t="str" cm="1">
        <f t="array" ref="AQ11">IFERROR(_xlfn.XLOOKUP($I11,#REF!,_xlfn.XLOOKUP(AQ$10,#REF!,#REF!,"",0,1),""),"")</f>
        <v/>
      </c>
      <c r="AR11" s="12" t="str" cm="1">
        <f t="array" ref="AR11">IFERROR(_xlfn.XLOOKUP($I11,#REF!,_xlfn.XLOOKUP(AR$10,#REF!,#REF!,"",0,1),""),"")</f>
        <v/>
      </c>
      <c r="AS11" s="12" t="str" cm="1">
        <f t="array" ref="AS11">IFERROR(_xlfn.XLOOKUP($I11,#REF!,_xlfn.XLOOKUP(AS$10,#REF!,#REF!,"",0,1),""),"")</f>
        <v/>
      </c>
      <c r="AT11" s="12" t="str" cm="1">
        <f t="array" ref="AT11">IFERROR(_xlfn.XLOOKUP($I11,#REF!,_xlfn.XLOOKUP(AT$10,#REF!,#REF!,"",0,1),""),"")</f>
        <v/>
      </c>
      <c r="AU11" s="12" t="str" cm="1">
        <f t="array" ref="AU11">IFERROR(_xlfn.XLOOKUP($I11,#REF!,_xlfn.XLOOKUP(AU$10,#REF!,#REF!,"",0,1),""),"")</f>
        <v/>
      </c>
      <c r="AV11" s="12" t="str" cm="1">
        <f t="array" ref="AV11">IFERROR(_xlfn.XLOOKUP($I11,#REF!,_xlfn.XLOOKUP(AV$10,#REF!,#REF!,"",0,1),""),"")</f>
        <v/>
      </c>
      <c r="AW11" s="12" t="str">
        <f>IFERROR(_xlfn.XLOOKUP($I11,#REF!,#REF!,""),"")</f>
        <v/>
      </c>
      <c r="AX11" s="12" t="str">
        <f>IFERROR(_xlfn.XLOOKUP($I11,#REF!,#REF!,""),"")</f>
        <v/>
      </c>
      <c r="AY11" s="12" t="str">
        <f>IFERROR(_xlfn.XLOOKUP($I11,#REF!,#REF!,""),"")</f>
        <v/>
      </c>
      <c r="AZ11" s="11" t="str" cm="1">
        <f t="array" ref="AZ11">IFERROR(_xlfn.XLOOKUP($I11,#REF!,_xlfn.XLOOKUP(AZ$10,#REF!,#REF!,"",0,1),""),"")</f>
        <v/>
      </c>
      <c r="BA11" s="11" t="str" cm="1">
        <f t="array" ref="BA11">IFERROR(_xlfn.XLOOKUP($I11,#REF!,_xlfn.XLOOKUP(BA$10,#REF!,#REF!,"",0,1),""),"")</f>
        <v/>
      </c>
      <c r="BB11" s="11" t="str">
        <f>IFERROR(_xlfn.XLOOKUP($I11,#REF!,#REF!,""),"")</f>
        <v/>
      </c>
      <c r="BC11" s="11" t="str">
        <f>IFERROR(_xlfn.XLOOKUP($I11,#REF!,#REF!,""),"")</f>
        <v/>
      </c>
      <c r="BD11" s="12" t="str" cm="1">
        <f t="array" ref="BD11">IFERROR(_xlfn.XLOOKUP($I11,#REF!,_xlfn.XLOOKUP(BD$10,#REF!,#REF!,"",0,1),""),"")</f>
        <v/>
      </c>
      <c r="BE11" s="12" t="str" cm="1">
        <f t="array" ref="BE11">IFERROR(_xlfn.XLOOKUP($I11,#REF!,_xlfn.XLOOKUP(BE$10,#REF!,#REF!,"",0,1),""),"")</f>
        <v/>
      </c>
      <c r="BF11" s="12" t="str" cm="1">
        <f t="array" ref="BF11">IFERROR(_xlfn.XLOOKUP($I11,#REF!,_xlfn.XLOOKUP(BF$10,#REF!,#REF!,"",0,1),""),"")</f>
        <v/>
      </c>
      <c r="BG11" s="12" t="str" cm="1">
        <f t="array" ref="BG11">IFERROR(_xlfn.XLOOKUP($I11,#REF!,_xlfn.XLOOKUP(BG$10,#REF!,#REF!,"",0,1),""),"")</f>
        <v/>
      </c>
      <c r="BH11" s="12" t="str" cm="1">
        <f t="array" ref="BH11">IFERROR(_xlfn.XLOOKUP($I11,#REF!,_xlfn.XLOOKUP(BH$10,#REF!,#REF!,"",0,1),""),"")</f>
        <v/>
      </c>
      <c r="BI11" s="12" t="str" cm="1">
        <f t="array" ref="BI11">IFERROR(_xlfn.XLOOKUP($I11,#REF!,_xlfn.XLOOKUP(BI$10,#REF!,#REF!,"",0,1),""),"")</f>
        <v/>
      </c>
      <c r="BJ11" s="12" t="str" cm="1">
        <f t="array" ref="BJ11">IFERROR(_xlfn.XLOOKUP($I11,#REF!,_xlfn.XLOOKUP(BJ$10,#REF!,#REF!,"",0,1),""),"")</f>
        <v/>
      </c>
      <c r="BK11" s="12" t="str" cm="1">
        <f t="array" ref="BK11">IFERROR(_xlfn.XLOOKUP($I11,#REF!,_xlfn.XLOOKUP(BK$10,#REF!,#REF!,"",0,1),""),"")</f>
        <v/>
      </c>
      <c r="BL11" s="12" t="str" cm="1">
        <f t="array" ref="BL11">IFERROR(_xlfn.XLOOKUP($I11,#REF!,_xlfn.XLOOKUP(BL$10,#REF!,#REF!,"",0,1),""),"")</f>
        <v/>
      </c>
      <c r="BM11" s="12" t="str">
        <f>IFERROR(_xlfn.XLOOKUP($I11,#REF!,#REF!,""),"")</f>
        <v/>
      </c>
      <c r="BN11" s="12" t="str">
        <f>IFERROR(_xlfn.XLOOKUP($I11,#REF!,#REF!,""),"")</f>
        <v/>
      </c>
      <c r="BO11" s="12" t="str">
        <f>IFERROR(_xlfn.XLOOKUP($I11,#REF!,#REF!,""),"")</f>
        <v/>
      </c>
      <c r="BP11" s="12" t="str" cm="1">
        <f t="array" ref="BP11">IFERROR(_xlfn.XLOOKUP($I11,#REF!,_xlfn.XLOOKUP(BP$10,#REF!,#REF!,"",0,1),""),"")</f>
        <v/>
      </c>
      <c r="BQ11" s="12" t="str">
        <f>IFERROR(_xlfn.XLOOKUP($I11,#REF!,#REF!,""),"")</f>
        <v/>
      </c>
      <c r="BR11" s="12" t="str">
        <f>IFERROR(_xlfn.XLOOKUP($I11,#REF!,#REF!,""),"")</f>
        <v/>
      </c>
      <c r="BS11" s="12" t="str">
        <f>IFERROR(_xlfn.XLOOKUP($I11,#REF!,#REF!,""),"")</f>
        <v/>
      </c>
      <c r="BT11" s="11" t="str">
        <f>IFERROR(_xlfn.XLOOKUP($I11,#REF!,#REF!,""),"")</f>
        <v/>
      </c>
      <c r="BU11" s="11" t="str">
        <f>IFERROR(_xlfn.XLOOKUP($I11,#REF!,#REF!,""),"")</f>
        <v/>
      </c>
      <c r="BV11" s="32" t="str">
        <f>IFERROR(_xlfn.XLOOKUP($I11,#REF!,#REF!,""),"")</f>
        <v/>
      </c>
      <c r="BW11" s="12" t="str">
        <f>IFERROR(_xlfn.XLOOKUP($I11,#REF!,#REF!,""),"")</f>
        <v/>
      </c>
    </row>
    <row r="12" spans="3:78" ht="52.35" customHeight="1" x14ac:dyDescent="0.3">
      <c r="C12" s="22" t="str">
        <f>IFERROR(_xlfn.XLOOKUP($I12,#REF!,#REF!,""),"")</f>
        <v/>
      </c>
      <c r="D12" s="19" t="str">
        <f>IFERROR(_xlfn.XLOOKUP($I12,#REF!,#REF!,""),"")</f>
        <v/>
      </c>
      <c r="E12" s="23" t="str">
        <f>IFERROR(_xlfn.XLOOKUP($I12,#REF!,#REF!,""),"")</f>
        <v/>
      </c>
      <c r="F12" s="19" t="str">
        <f>IFERROR(_xlfn.XLOOKUP($I12,#REF!,#REF!,""),"")</f>
        <v/>
      </c>
      <c r="G12" s="19" t="str">
        <f>IFERROR(_xlfn.XLOOKUP($I12,#REF!,#REF!,""),"")</f>
        <v/>
      </c>
      <c r="H12" s="19" t="str">
        <f>IFERROR(_xlfn.XLOOKUP($I12,#REF!,#REF!,""),"")</f>
        <v/>
      </c>
      <c r="I12" s="77">
        <v>101647</v>
      </c>
      <c r="J12" s="12" t="str" cm="1">
        <f t="array" ref="J12">IFERROR(_xlfn.XLOOKUP($I12,#REF!,_xlfn.XLOOKUP(J$10,#REF!,#REF!,"",0,1),""),"")</f>
        <v/>
      </c>
      <c r="K12" s="12" t="str" cm="1">
        <f t="array" ref="K12">IFERROR(_xlfn.XLOOKUP($I12,#REF!,_xlfn.XLOOKUP(K$10,#REF!,#REF!,"",0,1),""),"")</f>
        <v/>
      </c>
      <c r="L12" s="12" t="str" cm="1">
        <f t="array" ref="L12">IFERROR(_xlfn.XLOOKUP($I12,#REF!,_xlfn.XLOOKUP(L$10,#REF!,#REF!,"",0,1),""),"")</f>
        <v/>
      </c>
      <c r="M12" s="36" t="str" cm="1">
        <f t="array" ref="M12">IFERROR(_xlfn.XLOOKUP($I12,#REF!,_xlfn.XLOOKUP(M$10,#REF!,#REF!,"",0,1),""),"")</f>
        <v/>
      </c>
      <c r="N12" s="37" t="str" cm="1">
        <f t="array" ref="N12">IFERROR(_xlfn.XLOOKUP($I12,#REF!,_xlfn.XLOOKUP(N$10,#REF!,#REF!,"",0,1),""),"")</f>
        <v/>
      </c>
      <c r="O12" s="12" t="str" cm="1">
        <f t="array" ref="O12">IFERROR(_xlfn.XLOOKUP($I12,#REF!,_xlfn.XLOOKUP(O$10,#REF!,#REF!,"",0,1),""),"")</f>
        <v/>
      </c>
      <c r="P12" s="12" t="str" cm="1">
        <f t="array" ref="P12">IFERROR(_xlfn.XLOOKUP($I12,#REF!,_xlfn.XLOOKUP(P$10,#REF!,#REF!,"",0,1),""),"")</f>
        <v/>
      </c>
      <c r="Q12" s="12" t="str" cm="1">
        <f t="array" ref="Q12">IFERROR(_xlfn.XLOOKUP($I12,#REF!,_xlfn.XLOOKUP(Q$10,#REF!,#REF!,"",0,1),""),"")</f>
        <v/>
      </c>
      <c r="R12" s="12" t="str" cm="1">
        <f t="array" ref="R12">IFERROR(_xlfn.XLOOKUP($I12,#REF!,_xlfn.XLOOKUP(R$10,#REF!,#REF!,"",0,1),""),"")</f>
        <v/>
      </c>
      <c r="S12" s="12" t="str">
        <f>IFERROR(_xlfn.XLOOKUP($I12,#REF!,#REF!,""),"")</f>
        <v/>
      </c>
      <c r="T12" s="12" t="str">
        <f>IFERROR(_xlfn.XLOOKUP($I12,#REF!,#REF!,""),"")</f>
        <v/>
      </c>
      <c r="U12" s="12" t="str">
        <f>IFERROR(_xlfn.XLOOKUP($I12,#REF!,#REF!,""),"")</f>
        <v/>
      </c>
      <c r="V12" s="12" t="str">
        <f>IFERROR(_xlfn.XLOOKUP($I12,#REF!,#REF!,""),"")</f>
        <v/>
      </c>
      <c r="W12" s="74" t="str" cm="1">
        <f t="array" ref="W12">IFERROR(_xlfn.XLOOKUP($I12,#REF!,_xlfn.XLOOKUP(W$10,#REF!,#REF!,"",0,1),""),"")</f>
        <v/>
      </c>
      <c r="X12" s="74" t="str" cm="1">
        <f t="array" ref="X12">IFERROR(_xlfn.XLOOKUP($I12,#REF!,_xlfn.XLOOKUP(X$10,#REF!,#REF!,"",0,1),""),"")</f>
        <v/>
      </c>
      <c r="Y12" s="74" t="str" cm="1">
        <f t="array" ref="Y12">IFERROR(_xlfn.XLOOKUP($I12,#REF!,_xlfn.XLOOKUP(Y$10,#REF!,#REF!,"",0,1),""),"")</f>
        <v/>
      </c>
      <c r="Z12" s="74" t="str" cm="1">
        <f t="array" ref="Z12">IFERROR(_xlfn.XLOOKUP($I12,#REF!,_xlfn.XLOOKUP(Z$10,#REF!,#REF!,"",0,1),""),"")</f>
        <v/>
      </c>
      <c r="AA12" s="74" t="str" cm="1">
        <f t="array" ref="AA12">IFERROR(_xlfn.XLOOKUP($I12,#REF!,_xlfn.XLOOKUP(AA$10,#REF!,#REF!,"",0,1),""),"")</f>
        <v/>
      </c>
      <c r="AB12" s="12" t="str" cm="1">
        <f t="array" ref="AB12">IFERROR(_xlfn.XLOOKUP($I12,#REF!,_xlfn.XLOOKUP(AB$10,#REF!,#REF!,"",0,1),""),"")</f>
        <v/>
      </c>
      <c r="AC12" s="52" t="str" cm="1">
        <f t="array" ref="AC12">IFERROR(_xlfn.XLOOKUP($I12,#REF!,_xlfn.XLOOKUP(AC$10,#REF!,#REF!,"",0,1),""),"")</f>
        <v/>
      </c>
      <c r="AD12" s="12" t="str" cm="1">
        <f t="array" ref="AD12">IFERROR(_xlfn.XLOOKUP($I12,#REF!,_xlfn.XLOOKUP(AD$10,#REF!,#REF!,"",0,1),""),"")</f>
        <v/>
      </c>
      <c r="AE12" s="12"/>
      <c r="AF12" s="12" t="str" cm="1">
        <f t="array" ref="AF12">IFERROR(_xlfn.XLOOKUP($I12,#REF!,_xlfn.XLOOKUP(AF$10,#REF!,#REF!,"",0,1),""),"")</f>
        <v/>
      </c>
      <c r="AG12" s="12" t="str" cm="1">
        <f t="array" ref="AG12">IFERROR(_xlfn.XLOOKUP($I12,#REF!,_xlfn.XLOOKUP(AG$10,#REF!,#REF!,"",0,1),""),"")</f>
        <v/>
      </c>
      <c r="AH12" s="12" t="str" cm="1">
        <f t="array" ref="AH12">IFERROR(_xlfn.XLOOKUP($I12,#REF!,_xlfn.XLOOKUP(AH$10,#REF!,#REF!,"",0,1),""),"")</f>
        <v/>
      </c>
      <c r="AI12" s="12" t="str" cm="1">
        <f t="array" ref="AI12">IFERROR(_xlfn.XLOOKUP($I12,#REF!,_xlfn.XLOOKUP(AI$10,#REF!,#REF!,"",0,1),""),"")</f>
        <v/>
      </c>
      <c r="AJ12" s="12"/>
      <c r="AK12" s="12"/>
      <c r="AL12" s="11" t="str" cm="1">
        <f t="array" ref="AL12">IFERROR(_xlfn.XLOOKUP($I12,#REF!,_xlfn.XLOOKUP(AL$10,#REF!,#REF!,"",0,1),""),"")</f>
        <v/>
      </c>
      <c r="AM12" s="11" t="str" cm="1">
        <f t="array" ref="AM12">IFERROR(_xlfn.XLOOKUP($I12,#REF!,_xlfn.XLOOKUP(AM$10,#REF!,#REF!,"",0,1),""),"")</f>
        <v/>
      </c>
      <c r="AN12" s="11" t="str" cm="1">
        <f t="array" ref="AN12">IFERROR(_xlfn.XLOOKUP($I12,#REF!,_xlfn.XLOOKUP(AN$10,#REF!,#REF!,"",0,1),""),"")</f>
        <v/>
      </c>
      <c r="AO12" s="11" t="str" cm="1">
        <f t="array" ref="AO12">IFERROR(_xlfn.XLOOKUP($I12,#REF!,_xlfn.XLOOKUP(AO$10,#REF!,#REF!,"",0,1),""),"")</f>
        <v/>
      </c>
      <c r="AP12" s="11" t="str" cm="1">
        <f t="array" ref="AP12">IFERROR(_xlfn.XLOOKUP($I12,#REF!,_xlfn.XLOOKUP(AP$10,#REF!,#REF!,"",0,1),""),"")</f>
        <v/>
      </c>
      <c r="AQ12" s="11" t="str" cm="1">
        <f t="array" ref="AQ12">IFERROR(_xlfn.XLOOKUP($I12,#REF!,_xlfn.XLOOKUP(AQ$10,#REF!,#REF!,"",0,1),""),"")</f>
        <v/>
      </c>
      <c r="AR12" s="12" t="str" cm="1">
        <f t="array" ref="AR12">IFERROR(_xlfn.XLOOKUP($I12,#REF!,_xlfn.XLOOKUP(AR$10,#REF!,#REF!,"",0,1),""),"")</f>
        <v/>
      </c>
      <c r="AS12" s="12" t="str" cm="1">
        <f t="array" ref="AS12">IFERROR(_xlfn.XLOOKUP($I12,#REF!,_xlfn.XLOOKUP(AS$10,#REF!,#REF!,"",0,1),""),"")</f>
        <v/>
      </c>
      <c r="AT12" s="12" t="str" cm="1">
        <f t="array" ref="AT12">IFERROR(_xlfn.XLOOKUP($I12,#REF!,_xlfn.XLOOKUP(AT$10,#REF!,#REF!,"",0,1),""),"")</f>
        <v/>
      </c>
      <c r="AU12" s="12" t="str" cm="1">
        <f t="array" ref="AU12">IFERROR(_xlfn.XLOOKUP($I12,#REF!,_xlfn.XLOOKUP(AU$10,#REF!,#REF!,"",0,1),""),"")</f>
        <v/>
      </c>
      <c r="AV12" s="12" t="str" cm="1">
        <f t="array" ref="AV12">IFERROR(_xlfn.XLOOKUP($I12,#REF!,_xlfn.XLOOKUP(AV$10,#REF!,#REF!,"",0,1),""),"")</f>
        <v/>
      </c>
      <c r="AW12" s="12" t="str">
        <f>IFERROR(_xlfn.XLOOKUP($I12,#REF!,#REF!,""),"")</f>
        <v/>
      </c>
      <c r="AX12" s="12" t="str">
        <f>IFERROR(_xlfn.XLOOKUP($I12,#REF!,#REF!,""),"")</f>
        <v/>
      </c>
      <c r="AY12" s="12" t="str">
        <f>IFERROR(_xlfn.XLOOKUP($I12,#REF!,#REF!,""),"")</f>
        <v/>
      </c>
      <c r="AZ12" s="11" t="str" cm="1">
        <f t="array" ref="AZ12">IFERROR(_xlfn.XLOOKUP($I12,#REF!,_xlfn.XLOOKUP(AZ$10,#REF!,#REF!,"",0,1),""),"")</f>
        <v/>
      </c>
      <c r="BA12" s="11" t="str" cm="1">
        <f t="array" ref="BA12">IFERROR(_xlfn.XLOOKUP($I12,#REF!,_xlfn.XLOOKUP(BA$10,#REF!,#REF!,"",0,1),""),"")</f>
        <v/>
      </c>
      <c r="BB12" s="11" t="str">
        <f>IFERROR(_xlfn.XLOOKUP($I12,#REF!,#REF!,""),"")</f>
        <v/>
      </c>
      <c r="BC12" s="11" t="str">
        <f>IFERROR(_xlfn.XLOOKUP($I12,#REF!,#REF!,""),"")</f>
        <v/>
      </c>
      <c r="BD12" s="12" t="str" cm="1">
        <f t="array" ref="BD12">IFERROR(_xlfn.XLOOKUP($I12,#REF!,_xlfn.XLOOKUP(BD$10,#REF!,#REF!,"",0,1),""),"")</f>
        <v/>
      </c>
      <c r="BE12" s="12" t="str" cm="1">
        <f t="array" ref="BE12">IFERROR(_xlfn.XLOOKUP($I12,#REF!,_xlfn.XLOOKUP(BE$10,#REF!,#REF!,"",0,1),""),"")</f>
        <v/>
      </c>
      <c r="BF12" s="12" t="str" cm="1">
        <f t="array" ref="BF12">IFERROR(_xlfn.XLOOKUP($I12,#REF!,_xlfn.XLOOKUP(BF$10,#REF!,#REF!,"",0,1),""),"")</f>
        <v/>
      </c>
      <c r="BG12" s="12" t="str" cm="1">
        <f t="array" ref="BG12">IFERROR(_xlfn.XLOOKUP($I12,#REF!,_xlfn.XLOOKUP(BG$10,#REF!,#REF!,"",0,1),""),"")</f>
        <v/>
      </c>
      <c r="BH12" s="12" t="str" cm="1">
        <f t="array" ref="BH12">IFERROR(_xlfn.XLOOKUP($I12,#REF!,_xlfn.XLOOKUP(BH$10,#REF!,#REF!,"",0,1),""),"")</f>
        <v/>
      </c>
      <c r="BI12" s="12" t="str" cm="1">
        <f t="array" ref="BI12">IFERROR(_xlfn.XLOOKUP($I12,#REF!,_xlfn.XLOOKUP(BI$10,#REF!,#REF!,"",0,1),""),"")</f>
        <v/>
      </c>
      <c r="BJ12" s="12" t="str" cm="1">
        <f t="array" ref="BJ12">IFERROR(_xlfn.XLOOKUP($I12,#REF!,_xlfn.XLOOKUP(BJ$10,#REF!,#REF!,"",0,1),""),"")</f>
        <v/>
      </c>
      <c r="BK12" s="12" t="str" cm="1">
        <f t="array" ref="BK12">IFERROR(_xlfn.XLOOKUP($I12,#REF!,_xlfn.XLOOKUP(BK$10,#REF!,#REF!,"",0,1),""),"")</f>
        <v/>
      </c>
      <c r="BL12" s="12" t="str" cm="1">
        <f t="array" ref="BL12">IFERROR(_xlfn.XLOOKUP($I12,#REF!,_xlfn.XLOOKUP(BL$10,#REF!,#REF!,"",0,1),""),"")</f>
        <v/>
      </c>
      <c r="BM12" s="12" t="str">
        <f>IFERROR(_xlfn.XLOOKUP($I12,#REF!,#REF!,""),"")</f>
        <v/>
      </c>
      <c r="BN12" s="12" t="str">
        <f>IFERROR(_xlfn.XLOOKUP($I12,#REF!,#REF!,""),"")</f>
        <v/>
      </c>
      <c r="BO12" s="12" t="str">
        <f>IFERROR(_xlfn.XLOOKUP($I12,#REF!,#REF!,""),"")</f>
        <v/>
      </c>
      <c r="BP12" s="12" t="str" cm="1">
        <f t="array" ref="BP12">IFERROR(_xlfn.XLOOKUP($I12,#REF!,_xlfn.XLOOKUP(BP$10,#REF!,#REF!,"",0,1),""),"")</f>
        <v/>
      </c>
      <c r="BQ12" s="12" t="str">
        <f>IFERROR(_xlfn.XLOOKUP($I12,#REF!,#REF!,""),"")</f>
        <v/>
      </c>
      <c r="BR12" s="12" t="str">
        <f>IFERROR(_xlfn.XLOOKUP($I12,#REF!,#REF!,""),"")</f>
        <v/>
      </c>
      <c r="BS12" s="12" t="str">
        <f>IFERROR(_xlfn.XLOOKUP($I12,#REF!,#REF!,""),"")</f>
        <v/>
      </c>
      <c r="BT12" s="11" t="str">
        <f>IFERROR(_xlfn.XLOOKUP($I12,#REF!,#REF!,""),"")</f>
        <v/>
      </c>
      <c r="BU12" s="11" t="str">
        <f>IFERROR(_xlfn.XLOOKUP($I12,#REF!,#REF!,""),"")</f>
        <v/>
      </c>
      <c r="BV12" s="32" t="str">
        <f>IFERROR(_xlfn.XLOOKUP($I12,#REF!,#REF!,""),"")</f>
        <v/>
      </c>
      <c r="BW12" s="12" t="str">
        <f>IFERROR(_xlfn.XLOOKUP($I12,#REF!,#REF!,""),"")</f>
        <v/>
      </c>
    </row>
    <row r="13" spans="3:78" ht="52.35" customHeight="1" x14ac:dyDescent="0.3">
      <c r="C13" s="22" t="str">
        <f>IFERROR(_xlfn.XLOOKUP($I13,#REF!,#REF!,""),"")</f>
        <v/>
      </c>
      <c r="D13" s="19" t="str">
        <f>IFERROR(_xlfn.XLOOKUP($I13,#REF!,#REF!,""),"")</f>
        <v/>
      </c>
      <c r="E13" s="23" t="str">
        <f>IFERROR(_xlfn.XLOOKUP($I13,#REF!,#REF!,""),"")</f>
        <v/>
      </c>
      <c r="F13" s="19" t="str">
        <f>IFERROR(_xlfn.XLOOKUP($I13,#REF!,#REF!,""),"")</f>
        <v/>
      </c>
      <c r="G13" s="19" t="str">
        <f>IFERROR(_xlfn.XLOOKUP($I13,#REF!,#REF!,""),"")</f>
        <v/>
      </c>
      <c r="H13" s="19" t="str">
        <f>IFERROR(_xlfn.XLOOKUP($I13,#REF!,#REF!,""),"")</f>
        <v/>
      </c>
      <c r="I13" s="77">
        <v>102464</v>
      </c>
      <c r="J13" s="12" t="str" cm="1">
        <f t="array" ref="J13">IFERROR(_xlfn.XLOOKUP($I13,#REF!,_xlfn.XLOOKUP(J$10,#REF!,#REF!,"",0,1),""),"")</f>
        <v/>
      </c>
      <c r="K13" s="12" t="str" cm="1">
        <f t="array" ref="K13">IFERROR(_xlfn.XLOOKUP($I13,#REF!,_xlfn.XLOOKUP(K$10,#REF!,#REF!,"",0,1),""),"")</f>
        <v/>
      </c>
      <c r="L13" s="12" t="str" cm="1">
        <f t="array" ref="L13">IFERROR(_xlfn.XLOOKUP($I13,#REF!,_xlfn.XLOOKUP(L$10,#REF!,#REF!,"",0,1),""),"")</f>
        <v/>
      </c>
      <c r="M13" s="36" t="str" cm="1">
        <f t="array" ref="M13">IFERROR(_xlfn.XLOOKUP($I13,#REF!,_xlfn.XLOOKUP(M$10,#REF!,#REF!,"",0,1),""),"")</f>
        <v/>
      </c>
      <c r="N13" s="37" t="str" cm="1">
        <f t="array" ref="N13">IFERROR(_xlfn.XLOOKUP($I13,#REF!,_xlfn.XLOOKUP(N$10,#REF!,#REF!,"",0,1),""),"")</f>
        <v/>
      </c>
      <c r="O13" s="12" t="str" cm="1">
        <f t="array" ref="O13">IFERROR(_xlfn.XLOOKUP($I13,#REF!,_xlfn.XLOOKUP(O$10,#REF!,#REF!,"",0,1),""),"")</f>
        <v/>
      </c>
      <c r="P13" s="12" t="str" cm="1">
        <f t="array" ref="P13">IFERROR(_xlfn.XLOOKUP($I13,#REF!,_xlfn.XLOOKUP(P$10,#REF!,#REF!,"",0,1),""),"")</f>
        <v/>
      </c>
      <c r="Q13" s="12" t="str" cm="1">
        <f t="array" ref="Q13">IFERROR(_xlfn.XLOOKUP($I13,#REF!,_xlfn.XLOOKUP(Q$10,#REF!,#REF!,"",0,1),""),"")</f>
        <v/>
      </c>
      <c r="R13" s="12" t="str" cm="1">
        <f t="array" ref="R13">IFERROR(_xlfn.XLOOKUP($I13,#REF!,_xlfn.XLOOKUP(R$10,#REF!,#REF!,"",0,1),""),"")</f>
        <v/>
      </c>
      <c r="S13" s="12" t="str">
        <f>IFERROR(_xlfn.XLOOKUP($I13,#REF!,#REF!,""),"")</f>
        <v/>
      </c>
      <c r="T13" s="12" t="str">
        <f>IFERROR(_xlfn.XLOOKUP($I13,#REF!,#REF!,""),"")</f>
        <v/>
      </c>
      <c r="U13" s="12" t="str">
        <f>IFERROR(_xlfn.XLOOKUP($I13,#REF!,#REF!,""),"")</f>
        <v/>
      </c>
      <c r="V13" s="12" t="str">
        <f>IFERROR(_xlfn.XLOOKUP($I13,#REF!,#REF!,""),"")</f>
        <v/>
      </c>
      <c r="W13" s="74" t="str" cm="1">
        <f t="array" ref="W13">IFERROR(_xlfn.XLOOKUP($I13,#REF!,_xlfn.XLOOKUP(W$10,#REF!,#REF!,"",0,1),""),"")</f>
        <v/>
      </c>
      <c r="X13" s="74" t="str" cm="1">
        <f t="array" ref="X13">IFERROR(_xlfn.XLOOKUP($I13,#REF!,_xlfn.XLOOKUP(X$10,#REF!,#REF!,"",0,1),""),"")</f>
        <v/>
      </c>
      <c r="Y13" s="74" t="str" cm="1">
        <f t="array" ref="Y13">IFERROR(_xlfn.XLOOKUP($I13,#REF!,_xlfn.XLOOKUP(Y$10,#REF!,#REF!,"",0,1),""),"")</f>
        <v/>
      </c>
      <c r="Z13" s="74" t="str" cm="1">
        <f t="array" ref="Z13">IFERROR(_xlfn.XLOOKUP($I13,#REF!,_xlfn.XLOOKUP(Z$10,#REF!,#REF!,"",0,1),""),"")</f>
        <v/>
      </c>
      <c r="AA13" s="74" t="str" cm="1">
        <f t="array" ref="AA13">IFERROR(_xlfn.XLOOKUP($I13,#REF!,_xlfn.XLOOKUP(AA$10,#REF!,#REF!,"",0,1),""),"")</f>
        <v/>
      </c>
      <c r="AB13" s="12" t="str" cm="1">
        <f t="array" ref="AB13">IFERROR(_xlfn.XLOOKUP($I13,#REF!,_xlfn.XLOOKUP(AB$10,#REF!,#REF!,"",0,1),""),"")</f>
        <v/>
      </c>
      <c r="AC13" s="52" t="str" cm="1">
        <f t="array" ref="AC13">IFERROR(_xlfn.XLOOKUP($I13,#REF!,_xlfn.XLOOKUP(AC$10,#REF!,#REF!,"",0,1),""),"")</f>
        <v/>
      </c>
      <c r="AD13" s="12" t="str" cm="1">
        <f t="array" ref="AD13">IFERROR(_xlfn.XLOOKUP($I13,#REF!,_xlfn.XLOOKUP(AD$10,#REF!,#REF!,"",0,1),""),"")</f>
        <v/>
      </c>
      <c r="AE13" s="12"/>
      <c r="AF13" s="12" t="str" cm="1">
        <f t="array" ref="AF13">IFERROR(_xlfn.XLOOKUP($I13,#REF!,_xlfn.XLOOKUP(AF$10,#REF!,#REF!,"",0,1),""),"")</f>
        <v/>
      </c>
      <c r="AG13" s="12" t="str" cm="1">
        <f t="array" ref="AG13">IFERROR(_xlfn.XLOOKUP($I13,#REF!,_xlfn.XLOOKUP(AG$10,#REF!,#REF!,"",0,1),""),"")</f>
        <v/>
      </c>
      <c r="AH13" s="12" t="str" cm="1">
        <f t="array" ref="AH13">IFERROR(_xlfn.XLOOKUP($I13,#REF!,_xlfn.XLOOKUP(AH$10,#REF!,#REF!,"",0,1),""),"")</f>
        <v/>
      </c>
      <c r="AI13" s="12" t="str" cm="1">
        <f t="array" ref="AI13">IFERROR(_xlfn.XLOOKUP($I13,#REF!,_xlfn.XLOOKUP(AI$10,#REF!,#REF!,"",0,1),""),"")</f>
        <v/>
      </c>
      <c r="AJ13" s="12"/>
      <c r="AK13" s="12"/>
      <c r="AL13" s="11" t="str" cm="1">
        <f t="array" ref="AL13">IFERROR(_xlfn.XLOOKUP($I13,#REF!,_xlfn.XLOOKUP(AL$10,#REF!,#REF!,"",0,1),""),"")</f>
        <v/>
      </c>
      <c r="AM13" s="11" t="str" cm="1">
        <f t="array" ref="AM13">IFERROR(_xlfn.XLOOKUP($I13,#REF!,_xlfn.XLOOKUP(AM$10,#REF!,#REF!,"",0,1),""),"")</f>
        <v/>
      </c>
      <c r="AN13" s="11" t="str" cm="1">
        <f t="array" ref="AN13">IFERROR(_xlfn.XLOOKUP($I13,#REF!,_xlfn.XLOOKUP(AN$10,#REF!,#REF!,"",0,1),""),"")</f>
        <v/>
      </c>
      <c r="AO13" s="11" t="str" cm="1">
        <f t="array" ref="AO13">IFERROR(_xlfn.XLOOKUP($I13,#REF!,_xlfn.XLOOKUP(AO$10,#REF!,#REF!,"",0,1),""),"")</f>
        <v/>
      </c>
      <c r="AP13" s="11" t="str" cm="1">
        <f t="array" ref="AP13">IFERROR(_xlfn.XLOOKUP($I13,#REF!,_xlfn.XLOOKUP(AP$10,#REF!,#REF!,"",0,1),""),"")</f>
        <v/>
      </c>
      <c r="AQ13" s="11" t="str" cm="1">
        <f t="array" ref="AQ13">IFERROR(_xlfn.XLOOKUP($I13,#REF!,_xlfn.XLOOKUP(AQ$10,#REF!,#REF!,"",0,1),""),"")</f>
        <v/>
      </c>
      <c r="AR13" s="12" t="str" cm="1">
        <f t="array" ref="AR13">IFERROR(_xlfn.XLOOKUP($I13,#REF!,_xlfn.XLOOKUP(AR$10,#REF!,#REF!,"",0,1),""),"")</f>
        <v/>
      </c>
      <c r="AS13" s="12" t="str" cm="1">
        <f t="array" ref="AS13">IFERROR(_xlfn.XLOOKUP($I13,#REF!,_xlfn.XLOOKUP(AS$10,#REF!,#REF!,"",0,1),""),"")</f>
        <v/>
      </c>
      <c r="AT13" s="12" t="str" cm="1">
        <f t="array" ref="AT13">IFERROR(_xlfn.XLOOKUP($I13,#REF!,_xlfn.XLOOKUP(AT$10,#REF!,#REF!,"",0,1),""),"")</f>
        <v/>
      </c>
      <c r="AU13" s="12" t="str" cm="1">
        <f t="array" ref="AU13">IFERROR(_xlfn.XLOOKUP($I13,#REF!,_xlfn.XLOOKUP(AU$10,#REF!,#REF!,"",0,1),""),"")</f>
        <v/>
      </c>
      <c r="AV13" s="12" t="str" cm="1">
        <f t="array" ref="AV13">IFERROR(_xlfn.XLOOKUP($I13,#REF!,_xlfn.XLOOKUP(AV$10,#REF!,#REF!,"",0,1),""),"")</f>
        <v/>
      </c>
      <c r="AW13" s="12" t="str">
        <f>IFERROR(_xlfn.XLOOKUP($I13,#REF!,#REF!,""),"")</f>
        <v/>
      </c>
      <c r="AX13" s="12" t="str">
        <f>IFERROR(_xlfn.XLOOKUP($I13,#REF!,#REF!,""),"")</f>
        <v/>
      </c>
      <c r="AY13" s="12" t="str">
        <f>IFERROR(_xlfn.XLOOKUP($I13,#REF!,#REF!,""),"")</f>
        <v/>
      </c>
      <c r="AZ13" s="11" t="str" cm="1">
        <f t="array" ref="AZ13">IFERROR(_xlfn.XLOOKUP($I13,#REF!,_xlfn.XLOOKUP(AZ$10,#REF!,#REF!,"",0,1),""),"")</f>
        <v/>
      </c>
      <c r="BA13" s="11" t="str" cm="1">
        <f t="array" ref="BA13">IFERROR(_xlfn.XLOOKUP($I13,#REF!,_xlfn.XLOOKUP(BA$10,#REF!,#REF!,"",0,1),""),"")</f>
        <v/>
      </c>
      <c r="BB13" s="11" t="str">
        <f>IFERROR(_xlfn.XLOOKUP($I13,#REF!,#REF!,""),"")</f>
        <v/>
      </c>
      <c r="BC13" s="11" t="str">
        <f>IFERROR(_xlfn.XLOOKUP($I13,#REF!,#REF!,""),"")</f>
        <v/>
      </c>
      <c r="BD13" s="12" t="str" cm="1">
        <f t="array" ref="BD13">IFERROR(_xlfn.XLOOKUP($I13,#REF!,_xlfn.XLOOKUP(BD$10,#REF!,#REF!,"",0,1),""),"")</f>
        <v/>
      </c>
      <c r="BE13" s="12" t="str" cm="1">
        <f t="array" ref="BE13">IFERROR(_xlfn.XLOOKUP($I13,#REF!,_xlfn.XLOOKUP(BE$10,#REF!,#REF!,"",0,1),""),"")</f>
        <v/>
      </c>
      <c r="BF13" s="12" t="str" cm="1">
        <f t="array" ref="BF13">IFERROR(_xlfn.XLOOKUP($I13,#REF!,_xlfn.XLOOKUP(BF$10,#REF!,#REF!,"",0,1),""),"")</f>
        <v/>
      </c>
      <c r="BG13" s="12" t="str" cm="1">
        <f t="array" ref="BG13">IFERROR(_xlfn.XLOOKUP($I13,#REF!,_xlfn.XLOOKUP(BG$10,#REF!,#REF!,"",0,1),""),"")</f>
        <v/>
      </c>
      <c r="BH13" s="12" t="str" cm="1">
        <f t="array" ref="BH13">IFERROR(_xlfn.XLOOKUP($I13,#REF!,_xlfn.XLOOKUP(BH$10,#REF!,#REF!,"",0,1),""),"")</f>
        <v/>
      </c>
      <c r="BI13" s="12" t="str" cm="1">
        <f t="array" ref="BI13">IFERROR(_xlfn.XLOOKUP($I13,#REF!,_xlfn.XLOOKUP(BI$10,#REF!,#REF!,"",0,1),""),"")</f>
        <v/>
      </c>
      <c r="BJ13" s="12" t="str" cm="1">
        <f t="array" ref="BJ13">IFERROR(_xlfn.XLOOKUP($I13,#REF!,_xlfn.XLOOKUP(BJ$10,#REF!,#REF!,"",0,1),""),"")</f>
        <v/>
      </c>
      <c r="BK13" s="12" t="str" cm="1">
        <f t="array" ref="BK13">IFERROR(_xlfn.XLOOKUP($I13,#REF!,_xlfn.XLOOKUP(BK$10,#REF!,#REF!,"",0,1),""),"")</f>
        <v/>
      </c>
      <c r="BL13" s="12" t="str" cm="1">
        <f t="array" ref="BL13">IFERROR(_xlfn.XLOOKUP($I13,#REF!,_xlfn.XLOOKUP(BL$10,#REF!,#REF!,"",0,1),""),"")</f>
        <v/>
      </c>
      <c r="BM13" s="12" t="str">
        <f>IFERROR(_xlfn.XLOOKUP($I13,#REF!,#REF!,""),"")</f>
        <v/>
      </c>
      <c r="BN13" s="12" t="str">
        <f>IFERROR(_xlfn.XLOOKUP($I13,#REF!,#REF!,""),"")</f>
        <v/>
      </c>
      <c r="BO13" s="12" t="str">
        <f>IFERROR(_xlfn.XLOOKUP($I13,#REF!,#REF!,""),"")</f>
        <v/>
      </c>
      <c r="BP13" s="12" t="str" cm="1">
        <f t="array" ref="BP13">IFERROR(_xlfn.XLOOKUP($I13,#REF!,_xlfn.XLOOKUP(BP$10,#REF!,#REF!,"",0,1),""),"")</f>
        <v/>
      </c>
      <c r="BQ13" s="12" t="str">
        <f>IFERROR(_xlfn.XLOOKUP($I13,#REF!,#REF!,""),"")</f>
        <v/>
      </c>
      <c r="BR13" s="12" t="str">
        <f>IFERROR(_xlfn.XLOOKUP($I13,#REF!,#REF!,""),"")</f>
        <v/>
      </c>
      <c r="BS13" s="12" t="str">
        <f>IFERROR(_xlfn.XLOOKUP($I13,#REF!,#REF!,""),"")</f>
        <v/>
      </c>
      <c r="BT13" s="11" t="str">
        <f>IFERROR(_xlfn.XLOOKUP($I13,#REF!,#REF!,""),"")</f>
        <v/>
      </c>
      <c r="BU13" s="11" t="str">
        <f>IFERROR(_xlfn.XLOOKUP($I13,#REF!,#REF!,""),"")</f>
        <v/>
      </c>
      <c r="BV13" s="32" t="str">
        <f>IFERROR(_xlfn.XLOOKUP($I13,#REF!,#REF!,""),"")</f>
        <v/>
      </c>
      <c r="BW13" s="12" t="str">
        <f>IFERROR(_xlfn.XLOOKUP($I13,#REF!,#REF!,""),"")</f>
        <v/>
      </c>
    </row>
    <row r="14" spans="3:78" ht="52.35" customHeight="1" x14ac:dyDescent="0.3">
      <c r="C14" s="22" t="str">
        <f>IFERROR(_xlfn.XLOOKUP($I14,#REF!,#REF!,""),"")</f>
        <v/>
      </c>
      <c r="D14" s="19" t="str">
        <f>IFERROR(_xlfn.XLOOKUP($I14,#REF!,#REF!,""),"")</f>
        <v/>
      </c>
      <c r="E14" s="23" t="str">
        <f>IFERROR(_xlfn.XLOOKUP($I14,#REF!,#REF!,""),"")</f>
        <v/>
      </c>
      <c r="F14" s="19" t="str">
        <f>IFERROR(_xlfn.XLOOKUP($I14,#REF!,#REF!,""),"")</f>
        <v/>
      </c>
      <c r="G14" s="19" t="str">
        <f>IFERROR(_xlfn.XLOOKUP($I14,#REF!,#REF!,""),"")</f>
        <v/>
      </c>
      <c r="H14" s="19" t="str">
        <f>IFERROR(_xlfn.XLOOKUP($I14,#REF!,#REF!,""),"")</f>
        <v/>
      </c>
      <c r="I14" s="77">
        <v>107733</v>
      </c>
      <c r="J14" s="12" t="str" cm="1">
        <f t="array" ref="J14">IFERROR(_xlfn.XLOOKUP($I14,#REF!,_xlfn.XLOOKUP(J$10,#REF!,#REF!,"",0,1),""),"")</f>
        <v/>
      </c>
      <c r="K14" s="12" t="str" cm="1">
        <f t="array" ref="K14">IFERROR(_xlfn.XLOOKUP($I14,#REF!,_xlfn.XLOOKUP(K$10,#REF!,#REF!,"",0,1),""),"")</f>
        <v/>
      </c>
      <c r="L14" s="12" t="str" cm="1">
        <f t="array" ref="L14">IFERROR(_xlfn.XLOOKUP($I14,#REF!,_xlfn.XLOOKUP(L$10,#REF!,#REF!,"",0,1),""),"")</f>
        <v/>
      </c>
      <c r="M14" s="36" t="str" cm="1">
        <f t="array" ref="M14">IFERROR(_xlfn.XLOOKUP($I14,#REF!,_xlfn.XLOOKUP(M$10,#REF!,#REF!,"",0,1),""),"")</f>
        <v/>
      </c>
      <c r="N14" s="37" t="str" cm="1">
        <f t="array" ref="N14">IFERROR(_xlfn.XLOOKUP($I14,#REF!,_xlfn.XLOOKUP(N$10,#REF!,#REF!,"",0,1),""),"")</f>
        <v/>
      </c>
      <c r="O14" s="12" t="str" cm="1">
        <f t="array" ref="O14">IFERROR(_xlfn.XLOOKUP($I14,#REF!,_xlfn.XLOOKUP(O$10,#REF!,#REF!,"",0,1),""),"")</f>
        <v/>
      </c>
      <c r="P14" s="12" t="str" cm="1">
        <f t="array" ref="P14">IFERROR(_xlfn.XLOOKUP($I14,#REF!,_xlfn.XLOOKUP(P$10,#REF!,#REF!,"",0,1),""),"")</f>
        <v/>
      </c>
      <c r="Q14" s="12" t="str" cm="1">
        <f t="array" ref="Q14">IFERROR(_xlfn.XLOOKUP($I14,#REF!,_xlfn.XLOOKUP(Q$10,#REF!,#REF!,"",0,1),""),"")</f>
        <v/>
      </c>
      <c r="R14" s="12" t="str" cm="1">
        <f t="array" ref="R14">IFERROR(_xlfn.XLOOKUP($I14,#REF!,_xlfn.XLOOKUP(R$10,#REF!,#REF!,"",0,1),""),"")</f>
        <v/>
      </c>
      <c r="S14" s="12" t="str">
        <f>IFERROR(_xlfn.XLOOKUP($I14,#REF!,#REF!,""),"")</f>
        <v/>
      </c>
      <c r="T14" s="12" t="str">
        <f>IFERROR(_xlfn.XLOOKUP($I14,#REF!,#REF!,""),"")</f>
        <v/>
      </c>
      <c r="U14" s="12" t="str">
        <f>IFERROR(_xlfn.XLOOKUP($I14,#REF!,#REF!,""),"")</f>
        <v/>
      </c>
      <c r="V14" s="12" t="str">
        <f>IFERROR(_xlfn.XLOOKUP($I14,#REF!,#REF!,""),"")</f>
        <v/>
      </c>
      <c r="W14" s="74" t="str" cm="1">
        <f t="array" ref="W14">IFERROR(_xlfn.XLOOKUP($I14,#REF!,_xlfn.XLOOKUP(W$10,#REF!,#REF!,"",0,1),""),"")</f>
        <v/>
      </c>
      <c r="X14" s="74" t="str" cm="1">
        <f t="array" ref="X14">IFERROR(_xlfn.XLOOKUP($I14,#REF!,_xlfn.XLOOKUP(X$10,#REF!,#REF!,"",0,1),""),"")</f>
        <v/>
      </c>
      <c r="Y14" s="74" t="str" cm="1">
        <f t="array" ref="Y14">IFERROR(_xlfn.XLOOKUP($I14,#REF!,_xlfn.XLOOKUP(Y$10,#REF!,#REF!,"",0,1),""),"")</f>
        <v/>
      </c>
      <c r="Z14" s="74" t="str" cm="1">
        <f t="array" ref="Z14">IFERROR(_xlfn.XLOOKUP($I14,#REF!,_xlfn.XLOOKUP(Z$10,#REF!,#REF!,"",0,1),""),"")</f>
        <v/>
      </c>
      <c r="AA14" s="74" t="str" cm="1">
        <f t="array" ref="AA14">IFERROR(_xlfn.XLOOKUP($I14,#REF!,_xlfn.XLOOKUP(AA$10,#REF!,#REF!,"",0,1),""),"")</f>
        <v/>
      </c>
      <c r="AB14" s="12" t="str" cm="1">
        <f t="array" ref="AB14">IFERROR(_xlfn.XLOOKUP($I14,#REF!,_xlfn.XLOOKUP(AB$10,#REF!,#REF!,"",0,1),""),"")</f>
        <v/>
      </c>
      <c r="AC14" s="52" t="str" cm="1">
        <f t="array" ref="AC14">IFERROR(_xlfn.XLOOKUP($I14,#REF!,_xlfn.XLOOKUP(AC$10,#REF!,#REF!,"",0,1),""),"")</f>
        <v/>
      </c>
      <c r="AD14" s="12" t="str" cm="1">
        <f t="array" ref="AD14">IFERROR(_xlfn.XLOOKUP($I14,#REF!,_xlfn.XLOOKUP(AD$10,#REF!,#REF!,"",0,1),""),"")</f>
        <v/>
      </c>
      <c r="AE14" s="12"/>
      <c r="AF14" s="12" t="str" cm="1">
        <f t="array" ref="AF14">IFERROR(_xlfn.XLOOKUP($I14,#REF!,_xlfn.XLOOKUP(AF$10,#REF!,#REF!,"",0,1),""),"")</f>
        <v/>
      </c>
      <c r="AG14" s="12" t="str" cm="1">
        <f t="array" ref="AG14">IFERROR(_xlfn.XLOOKUP($I14,#REF!,_xlfn.XLOOKUP(AG$10,#REF!,#REF!,"",0,1),""),"")</f>
        <v/>
      </c>
      <c r="AH14" s="12" t="str" cm="1">
        <f t="array" ref="AH14">IFERROR(_xlfn.XLOOKUP($I14,#REF!,_xlfn.XLOOKUP(AH$10,#REF!,#REF!,"",0,1),""),"")</f>
        <v/>
      </c>
      <c r="AI14" s="12" t="str" cm="1">
        <f t="array" ref="AI14">IFERROR(_xlfn.XLOOKUP($I14,#REF!,_xlfn.XLOOKUP(AI$10,#REF!,#REF!,"",0,1),""),"")</f>
        <v/>
      </c>
      <c r="AJ14" s="12"/>
      <c r="AK14" s="12"/>
      <c r="AL14" s="11" t="str" cm="1">
        <f t="array" ref="AL14">IFERROR(_xlfn.XLOOKUP($I14,#REF!,_xlfn.XLOOKUP(AL$10,#REF!,#REF!,"",0,1),""),"")</f>
        <v/>
      </c>
      <c r="AM14" s="11" t="str" cm="1">
        <f t="array" ref="AM14">IFERROR(_xlfn.XLOOKUP($I14,#REF!,_xlfn.XLOOKUP(AM$10,#REF!,#REF!,"",0,1),""),"")</f>
        <v/>
      </c>
      <c r="AN14" s="11" t="str" cm="1">
        <f t="array" ref="AN14">IFERROR(_xlfn.XLOOKUP($I14,#REF!,_xlfn.XLOOKUP(AN$10,#REF!,#REF!,"",0,1),""),"")</f>
        <v/>
      </c>
      <c r="AO14" s="11" t="str" cm="1">
        <f t="array" ref="AO14">IFERROR(_xlfn.XLOOKUP($I14,#REF!,_xlfn.XLOOKUP(AO$10,#REF!,#REF!,"",0,1),""),"")</f>
        <v/>
      </c>
      <c r="AP14" s="11" t="str" cm="1">
        <f t="array" ref="AP14">IFERROR(_xlfn.XLOOKUP($I14,#REF!,_xlfn.XLOOKUP(AP$10,#REF!,#REF!,"",0,1),""),"")</f>
        <v/>
      </c>
      <c r="AQ14" s="11" t="str" cm="1">
        <f t="array" ref="AQ14">IFERROR(_xlfn.XLOOKUP($I14,#REF!,_xlfn.XLOOKUP(AQ$10,#REF!,#REF!,"",0,1),""),"")</f>
        <v/>
      </c>
      <c r="AR14" s="12" t="str" cm="1">
        <f t="array" ref="AR14">IFERROR(_xlfn.XLOOKUP($I14,#REF!,_xlfn.XLOOKUP(AR$10,#REF!,#REF!,"",0,1),""),"")</f>
        <v/>
      </c>
      <c r="AS14" s="12" t="str" cm="1">
        <f t="array" ref="AS14">IFERROR(_xlfn.XLOOKUP($I14,#REF!,_xlfn.XLOOKUP(AS$10,#REF!,#REF!,"",0,1),""),"")</f>
        <v/>
      </c>
      <c r="AT14" s="12" t="str" cm="1">
        <f t="array" ref="AT14">IFERROR(_xlfn.XLOOKUP($I14,#REF!,_xlfn.XLOOKUP(AT$10,#REF!,#REF!,"",0,1),""),"")</f>
        <v/>
      </c>
      <c r="AU14" s="12" t="str" cm="1">
        <f t="array" ref="AU14">IFERROR(_xlfn.XLOOKUP($I14,#REF!,_xlfn.XLOOKUP(AU$10,#REF!,#REF!,"",0,1),""),"")</f>
        <v/>
      </c>
      <c r="AV14" s="12" t="str" cm="1">
        <f t="array" ref="AV14">IFERROR(_xlfn.XLOOKUP($I14,#REF!,_xlfn.XLOOKUP(AV$10,#REF!,#REF!,"",0,1),""),"")</f>
        <v/>
      </c>
      <c r="AW14" s="12" t="str">
        <f>IFERROR(_xlfn.XLOOKUP($I14,#REF!,#REF!,""),"")</f>
        <v/>
      </c>
      <c r="AX14" s="12" t="str">
        <f>IFERROR(_xlfn.XLOOKUP($I14,#REF!,#REF!,""),"")</f>
        <v/>
      </c>
      <c r="AY14" s="12" t="str">
        <f>IFERROR(_xlfn.XLOOKUP($I14,#REF!,#REF!,""),"")</f>
        <v/>
      </c>
      <c r="AZ14" s="11" t="str" cm="1">
        <f t="array" ref="AZ14">IFERROR(_xlfn.XLOOKUP($I14,#REF!,_xlfn.XLOOKUP(AZ$10,#REF!,#REF!,"",0,1),""),"")</f>
        <v/>
      </c>
      <c r="BA14" s="11" t="str" cm="1">
        <f t="array" ref="BA14">IFERROR(_xlfn.XLOOKUP($I14,#REF!,_xlfn.XLOOKUP(BA$10,#REF!,#REF!,"",0,1),""),"")</f>
        <v/>
      </c>
      <c r="BB14" s="11" t="str">
        <f>IFERROR(_xlfn.XLOOKUP($I14,#REF!,#REF!,""),"")</f>
        <v/>
      </c>
      <c r="BC14" s="11" t="str">
        <f>IFERROR(_xlfn.XLOOKUP($I14,#REF!,#REF!,""),"")</f>
        <v/>
      </c>
      <c r="BD14" s="12" t="str" cm="1">
        <f t="array" ref="BD14">IFERROR(_xlfn.XLOOKUP($I14,#REF!,_xlfn.XLOOKUP(BD$10,#REF!,#REF!,"",0,1),""),"")</f>
        <v/>
      </c>
      <c r="BE14" s="12" t="str" cm="1">
        <f t="array" ref="BE14">IFERROR(_xlfn.XLOOKUP($I14,#REF!,_xlfn.XLOOKUP(BE$10,#REF!,#REF!,"",0,1),""),"")</f>
        <v/>
      </c>
      <c r="BF14" s="12" t="str" cm="1">
        <f t="array" ref="BF14">IFERROR(_xlfn.XLOOKUP($I14,#REF!,_xlfn.XLOOKUP(BF$10,#REF!,#REF!,"",0,1),""),"")</f>
        <v/>
      </c>
      <c r="BG14" s="12" t="str" cm="1">
        <f t="array" ref="BG14">IFERROR(_xlfn.XLOOKUP($I14,#REF!,_xlfn.XLOOKUP(BG$10,#REF!,#REF!,"",0,1),""),"")</f>
        <v/>
      </c>
      <c r="BH14" s="12" t="str" cm="1">
        <f t="array" ref="BH14">IFERROR(_xlfn.XLOOKUP($I14,#REF!,_xlfn.XLOOKUP(BH$10,#REF!,#REF!,"",0,1),""),"")</f>
        <v/>
      </c>
      <c r="BI14" s="12" t="str" cm="1">
        <f t="array" ref="BI14">IFERROR(_xlfn.XLOOKUP($I14,#REF!,_xlfn.XLOOKUP(BI$10,#REF!,#REF!,"",0,1),""),"")</f>
        <v/>
      </c>
      <c r="BJ14" s="12" t="str" cm="1">
        <f t="array" ref="BJ14">IFERROR(_xlfn.XLOOKUP($I14,#REF!,_xlfn.XLOOKUP(BJ$10,#REF!,#REF!,"",0,1),""),"")</f>
        <v/>
      </c>
      <c r="BK14" s="12" t="str" cm="1">
        <f t="array" ref="BK14">IFERROR(_xlfn.XLOOKUP($I14,#REF!,_xlfn.XLOOKUP(BK$10,#REF!,#REF!,"",0,1),""),"")</f>
        <v/>
      </c>
      <c r="BL14" s="12" t="str" cm="1">
        <f t="array" ref="BL14">IFERROR(_xlfn.XLOOKUP($I14,#REF!,_xlfn.XLOOKUP(BL$10,#REF!,#REF!,"",0,1),""),"")</f>
        <v/>
      </c>
      <c r="BM14" s="12" t="str">
        <f>IFERROR(_xlfn.XLOOKUP($I14,#REF!,#REF!,""),"")</f>
        <v/>
      </c>
      <c r="BN14" s="12" t="str">
        <f>IFERROR(_xlfn.XLOOKUP($I14,#REF!,#REF!,""),"")</f>
        <v/>
      </c>
      <c r="BO14" s="12" t="str">
        <f>IFERROR(_xlfn.XLOOKUP($I14,#REF!,#REF!,""),"")</f>
        <v/>
      </c>
      <c r="BP14" s="12" t="str" cm="1">
        <f t="array" ref="BP14">IFERROR(_xlfn.XLOOKUP($I14,#REF!,_xlfn.XLOOKUP(BP$10,#REF!,#REF!,"",0,1),""),"")</f>
        <v/>
      </c>
      <c r="BQ14" s="12" t="str">
        <f>IFERROR(_xlfn.XLOOKUP($I14,#REF!,#REF!,""),"")</f>
        <v/>
      </c>
      <c r="BR14" s="12" t="str">
        <f>IFERROR(_xlfn.XLOOKUP($I14,#REF!,#REF!,""),"")</f>
        <v/>
      </c>
      <c r="BS14" s="12" t="str">
        <f>IFERROR(_xlfn.XLOOKUP($I14,#REF!,#REF!,""),"")</f>
        <v/>
      </c>
      <c r="BT14" s="11" t="str">
        <f>IFERROR(_xlfn.XLOOKUP($I14,#REF!,#REF!,""),"")</f>
        <v/>
      </c>
      <c r="BU14" s="11" t="str">
        <f>IFERROR(_xlfn.XLOOKUP($I14,#REF!,#REF!,""),"")</f>
        <v/>
      </c>
      <c r="BV14" s="32" t="str">
        <f>IFERROR(_xlfn.XLOOKUP($I14,#REF!,#REF!,""),"")</f>
        <v/>
      </c>
      <c r="BW14" s="12" t="str">
        <f>IFERROR(_xlfn.XLOOKUP($I14,#REF!,#REF!,""),"")</f>
        <v/>
      </c>
    </row>
    <row r="15" spans="3:78" ht="87" customHeight="1" x14ac:dyDescent="0.3">
      <c r="C15" s="22" t="str">
        <f>IFERROR(_xlfn.XLOOKUP($I15,#REF!,#REF!,""),"")</f>
        <v/>
      </c>
      <c r="D15" s="19" t="str">
        <f>IFERROR(_xlfn.XLOOKUP($I15,#REF!,#REF!,""),"")</f>
        <v/>
      </c>
      <c r="E15" s="23" t="str">
        <f>IFERROR(_xlfn.XLOOKUP($I15,#REF!,#REF!,""),"")</f>
        <v/>
      </c>
      <c r="F15" s="19" t="str">
        <f>IFERROR(_xlfn.XLOOKUP($I15,#REF!,#REF!,""),"")</f>
        <v/>
      </c>
      <c r="G15" s="19" t="str">
        <f>IFERROR(_xlfn.XLOOKUP($I15,#REF!,#REF!,""),"")</f>
        <v/>
      </c>
      <c r="H15" s="19" t="str">
        <f>IFERROR(_xlfn.XLOOKUP($I15,#REF!,#REF!,""),"")</f>
        <v/>
      </c>
      <c r="I15" s="77">
        <v>101525</v>
      </c>
      <c r="J15" s="12" t="str" cm="1">
        <f t="array" ref="J15">IFERROR(_xlfn.XLOOKUP($I15,#REF!,_xlfn.XLOOKUP(J$10,#REF!,#REF!,"",0,1),""),"")</f>
        <v/>
      </c>
      <c r="K15" s="12" t="str" cm="1">
        <f t="array" ref="K15">IFERROR(_xlfn.XLOOKUP($I15,#REF!,_xlfn.XLOOKUP(K$10,#REF!,#REF!,"",0,1),""),"")</f>
        <v/>
      </c>
      <c r="L15" s="12" t="str" cm="1">
        <f t="array" ref="L15">IFERROR(_xlfn.XLOOKUP($I15,#REF!,_xlfn.XLOOKUP(L$10,#REF!,#REF!,"",0,1),""),"")</f>
        <v/>
      </c>
      <c r="M15" s="36" t="str" cm="1">
        <f t="array" ref="M15">IFERROR(_xlfn.XLOOKUP($I15,#REF!,_xlfn.XLOOKUP(M$10,#REF!,#REF!,"",0,1),""),"")</f>
        <v/>
      </c>
      <c r="N15" s="37" t="str" cm="1">
        <f t="array" ref="N15">IFERROR(_xlfn.XLOOKUP($I15,#REF!,_xlfn.XLOOKUP(N$10,#REF!,#REF!,"",0,1),""),"")</f>
        <v/>
      </c>
      <c r="O15" s="12" t="str" cm="1">
        <f t="array" ref="O15">IFERROR(_xlfn.XLOOKUP($I15,#REF!,_xlfn.XLOOKUP(O$10,#REF!,#REF!,"",0,1),""),"")</f>
        <v/>
      </c>
      <c r="P15" s="12" t="str" cm="1">
        <f t="array" ref="P15">IFERROR(_xlfn.XLOOKUP($I15,#REF!,_xlfn.XLOOKUP(P$10,#REF!,#REF!,"",0,1),""),"")</f>
        <v/>
      </c>
      <c r="Q15" s="12" t="str" cm="1">
        <f t="array" ref="Q15">IFERROR(_xlfn.XLOOKUP($I15,#REF!,_xlfn.XLOOKUP(Q$10,#REF!,#REF!,"",0,1),""),"")</f>
        <v/>
      </c>
      <c r="R15" s="12" t="str" cm="1">
        <f t="array" ref="R15">IFERROR(_xlfn.XLOOKUP($I15,#REF!,_xlfn.XLOOKUP(R$10,#REF!,#REF!,"",0,1),""),"")</f>
        <v/>
      </c>
      <c r="S15" s="12" t="str">
        <f>IFERROR(_xlfn.XLOOKUP($I15,#REF!,#REF!,""),"")</f>
        <v/>
      </c>
      <c r="T15" s="12" t="str">
        <f>IFERROR(_xlfn.XLOOKUP($I15,#REF!,#REF!,""),"")</f>
        <v/>
      </c>
      <c r="U15" s="12" t="str">
        <f>IFERROR(_xlfn.XLOOKUP($I15,#REF!,#REF!,""),"")</f>
        <v/>
      </c>
      <c r="V15" s="12" t="str">
        <f>IFERROR(_xlfn.XLOOKUP($I15,#REF!,#REF!,""),"")</f>
        <v/>
      </c>
      <c r="W15" s="74" t="str" cm="1">
        <f t="array" ref="W15">IFERROR(_xlfn.XLOOKUP($I15,#REF!,_xlfn.XLOOKUP(W$10,#REF!,#REF!,"",0,1),""),"")</f>
        <v/>
      </c>
      <c r="X15" s="74" t="str" cm="1">
        <f t="array" ref="X15">IFERROR(_xlfn.XLOOKUP($I15,#REF!,_xlfn.XLOOKUP(X$10,#REF!,#REF!,"",0,1),""),"")</f>
        <v/>
      </c>
      <c r="Y15" s="74" t="str" cm="1">
        <f t="array" ref="Y15">IFERROR(_xlfn.XLOOKUP($I15,#REF!,_xlfn.XLOOKUP(Y$10,#REF!,#REF!,"",0,1),""),"")</f>
        <v/>
      </c>
      <c r="Z15" s="74" t="str" cm="1">
        <f t="array" ref="Z15">IFERROR(_xlfn.XLOOKUP($I15,#REF!,_xlfn.XLOOKUP(Z$10,#REF!,#REF!,"",0,1),""),"")</f>
        <v/>
      </c>
      <c r="AA15" s="74" t="str" cm="1">
        <f t="array" ref="AA15">IFERROR(_xlfn.XLOOKUP($I15,#REF!,_xlfn.XLOOKUP(AA$10,#REF!,#REF!,"",0,1),""),"")</f>
        <v/>
      </c>
      <c r="AB15" s="12" t="str" cm="1">
        <f t="array" ref="AB15">IFERROR(_xlfn.XLOOKUP($I15,#REF!,_xlfn.XLOOKUP(AB$10,#REF!,#REF!,"",0,1),""),"")</f>
        <v/>
      </c>
      <c r="AC15" s="52" t="str" cm="1">
        <f t="array" ref="AC15">IFERROR(_xlfn.XLOOKUP($I15,#REF!,_xlfn.XLOOKUP(AC$10,#REF!,#REF!,"",0,1),""),"")</f>
        <v/>
      </c>
      <c r="AD15" s="12" t="str" cm="1">
        <f t="array" ref="AD15">IFERROR(_xlfn.XLOOKUP($I15,#REF!,_xlfn.XLOOKUP(AD$10,#REF!,#REF!,"",0,1),""),"")</f>
        <v/>
      </c>
      <c r="AE15" s="12"/>
      <c r="AF15" s="12" t="str" cm="1">
        <f t="array" ref="AF15">IFERROR(_xlfn.XLOOKUP($I15,#REF!,_xlfn.XLOOKUP(AF$10,#REF!,#REF!,"",0,1),""),"")</f>
        <v/>
      </c>
      <c r="AG15" s="12" t="str" cm="1">
        <f t="array" ref="AG15">IFERROR(_xlfn.XLOOKUP($I15,#REF!,_xlfn.XLOOKUP(AG$10,#REF!,#REF!,"",0,1),""),"")</f>
        <v/>
      </c>
      <c r="AH15" s="12" t="str" cm="1">
        <f t="array" ref="AH15">IFERROR(_xlfn.XLOOKUP($I15,#REF!,_xlfn.XLOOKUP(AH$10,#REF!,#REF!,"",0,1),""),"")</f>
        <v/>
      </c>
      <c r="AI15" s="12" t="str" cm="1">
        <f t="array" ref="AI15">IFERROR(_xlfn.XLOOKUP($I15,#REF!,_xlfn.XLOOKUP(AI$10,#REF!,#REF!,"",0,1),""),"")</f>
        <v/>
      </c>
      <c r="AJ15" s="12"/>
      <c r="AK15" s="12"/>
      <c r="AL15" s="11" t="str" cm="1">
        <f t="array" ref="AL15">IFERROR(_xlfn.XLOOKUP($I15,#REF!,_xlfn.XLOOKUP(AL$10,#REF!,#REF!,"",0,1),""),"")</f>
        <v/>
      </c>
      <c r="AM15" s="11" t="str" cm="1">
        <f t="array" ref="AM15">IFERROR(_xlfn.XLOOKUP($I15,#REF!,_xlfn.XLOOKUP(AM$10,#REF!,#REF!,"",0,1),""),"")</f>
        <v/>
      </c>
      <c r="AN15" s="11" t="str" cm="1">
        <f t="array" ref="AN15">IFERROR(_xlfn.XLOOKUP($I15,#REF!,_xlfn.XLOOKUP(AN$10,#REF!,#REF!,"",0,1),""),"")</f>
        <v/>
      </c>
      <c r="AO15" s="11" t="str" cm="1">
        <f t="array" ref="AO15">IFERROR(_xlfn.XLOOKUP($I15,#REF!,_xlfn.XLOOKUP(AO$10,#REF!,#REF!,"",0,1),""),"")</f>
        <v/>
      </c>
      <c r="AP15" s="11" t="str" cm="1">
        <f t="array" ref="AP15">IFERROR(_xlfn.XLOOKUP($I15,#REF!,_xlfn.XLOOKUP(AP$10,#REF!,#REF!,"",0,1),""),"")</f>
        <v/>
      </c>
      <c r="AQ15" s="11" t="str" cm="1">
        <f t="array" ref="AQ15">IFERROR(_xlfn.XLOOKUP($I15,#REF!,_xlfn.XLOOKUP(AQ$10,#REF!,#REF!,"",0,1),""),"")</f>
        <v/>
      </c>
      <c r="AR15" s="12" t="str" cm="1">
        <f t="array" ref="AR15">IFERROR(_xlfn.XLOOKUP($I15,#REF!,_xlfn.XLOOKUP(AR$10,#REF!,#REF!,"",0,1),""),"")</f>
        <v/>
      </c>
      <c r="AS15" s="12" t="str" cm="1">
        <f t="array" ref="AS15">IFERROR(_xlfn.XLOOKUP($I15,#REF!,_xlfn.XLOOKUP(AS$10,#REF!,#REF!,"",0,1),""),"")</f>
        <v/>
      </c>
      <c r="AT15" s="12" t="str" cm="1">
        <f t="array" ref="AT15">IFERROR(_xlfn.XLOOKUP($I15,#REF!,_xlfn.XLOOKUP(AT$10,#REF!,#REF!,"",0,1),""),"")</f>
        <v/>
      </c>
      <c r="AU15" s="12" t="str" cm="1">
        <f t="array" ref="AU15">IFERROR(_xlfn.XLOOKUP($I15,#REF!,_xlfn.XLOOKUP(AU$10,#REF!,#REF!,"",0,1),""),"")</f>
        <v/>
      </c>
      <c r="AV15" s="12" t="str" cm="1">
        <f t="array" ref="AV15">IFERROR(_xlfn.XLOOKUP($I15,#REF!,_xlfn.XLOOKUP(AV$10,#REF!,#REF!,"",0,1),""),"")</f>
        <v/>
      </c>
      <c r="AW15" s="12" t="str">
        <f>IFERROR(_xlfn.XLOOKUP($I15,#REF!,#REF!,""),"")</f>
        <v/>
      </c>
      <c r="AX15" s="12" t="str">
        <f>IFERROR(_xlfn.XLOOKUP($I15,#REF!,#REF!,""),"")</f>
        <v/>
      </c>
      <c r="AY15" s="12" t="str">
        <f>IFERROR(_xlfn.XLOOKUP($I15,#REF!,#REF!,""),"")</f>
        <v/>
      </c>
      <c r="AZ15" s="11" t="str" cm="1">
        <f t="array" ref="AZ15">IFERROR(_xlfn.XLOOKUP($I15,#REF!,_xlfn.XLOOKUP(AZ$10,#REF!,#REF!,"",0,1),""),"")</f>
        <v/>
      </c>
      <c r="BA15" s="11" t="str" cm="1">
        <f t="array" ref="BA15">IFERROR(_xlfn.XLOOKUP($I15,#REF!,_xlfn.XLOOKUP(BA$10,#REF!,#REF!,"",0,1),""),"")</f>
        <v/>
      </c>
      <c r="BB15" s="11" t="str">
        <f>IFERROR(_xlfn.XLOOKUP($I15,#REF!,#REF!,""),"")</f>
        <v/>
      </c>
      <c r="BC15" s="11" t="str">
        <f>IFERROR(_xlfn.XLOOKUP($I15,#REF!,#REF!,""),"")</f>
        <v/>
      </c>
      <c r="BD15" s="12" t="str" cm="1">
        <f t="array" ref="BD15">IFERROR(_xlfn.XLOOKUP($I15,#REF!,_xlfn.XLOOKUP(BD$10,#REF!,#REF!,"",0,1),""),"")</f>
        <v/>
      </c>
      <c r="BE15" s="12" t="str" cm="1">
        <f t="array" ref="BE15">IFERROR(_xlfn.XLOOKUP($I15,#REF!,_xlfn.XLOOKUP(BE$10,#REF!,#REF!,"",0,1),""),"")</f>
        <v/>
      </c>
      <c r="BF15" s="12" t="str" cm="1">
        <f t="array" ref="BF15">IFERROR(_xlfn.XLOOKUP($I15,#REF!,_xlfn.XLOOKUP(BF$10,#REF!,#REF!,"",0,1),""),"")</f>
        <v/>
      </c>
      <c r="BG15" s="12" t="str" cm="1">
        <f t="array" ref="BG15">IFERROR(_xlfn.XLOOKUP($I15,#REF!,_xlfn.XLOOKUP(BG$10,#REF!,#REF!,"",0,1),""),"")</f>
        <v/>
      </c>
      <c r="BH15" s="12" t="str" cm="1">
        <f t="array" ref="BH15">IFERROR(_xlfn.XLOOKUP($I15,#REF!,_xlfn.XLOOKUP(BH$10,#REF!,#REF!,"",0,1),""),"")</f>
        <v/>
      </c>
      <c r="BI15" s="12" t="str" cm="1">
        <f t="array" ref="BI15">IFERROR(_xlfn.XLOOKUP($I15,#REF!,_xlfn.XLOOKUP(BI$10,#REF!,#REF!,"",0,1),""),"")</f>
        <v/>
      </c>
      <c r="BJ15" s="12" t="str" cm="1">
        <f t="array" ref="BJ15">IFERROR(_xlfn.XLOOKUP($I15,#REF!,_xlfn.XLOOKUP(BJ$10,#REF!,#REF!,"",0,1),""),"")</f>
        <v/>
      </c>
      <c r="BK15" s="12" t="str" cm="1">
        <f t="array" ref="BK15">IFERROR(_xlfn.XLOOKUP($I15,#REF!,_xlfn.XLOOKUP(BK$10,#REF!,#REF!,"",0,1),""),"")</f>
        <v/>
      </c>
      <c r="BL15" s="12" t="str" cm="1">
        <f t="array" ref="BL15">IFERROR(_xlfn.XLOOKUP($I15,#REF!,_xlfn.XLOOKUP(BL$10,#REF!,#REF!,"",0,1),""),"")</f>
        <v/>
      </c>
      <c r="BM15" s="12" t="str">
        <f>IFERROR(_xlfn.XLOOKUP($I15,#REF!,#REF!,""),"")</f>
        <v/>
      </c>
      <c r="BN15" s="12" t="str">
        <f>IFERROR(_xlfn.XLOOKUP($I15,#REF!,#REF!,""),"")</f>
        <v/>
      </c>
      <c r="BO15" s="12" t="str">
        <f>IFERROR(_xlfn.XLOOKUP($I15,#REF!,#REF!,""),"")</f>
        <v/>
      </c>
      <c r="BP15" s="12" t="str" cm="1">
        <f t="array" ref="BP15">IFERROR(_xlfn.XLOOKUP($I15,#REF!,_xlfn.XLOOKUP(BP$10,#REF!,#REF!,"",0,1),""),"")</f>
        <v/>
      </c>
      <c r="BQ15" s="12" t="str">
        <f>IFERROR(_xlfn.XLOOKUP($I15,#REF!,#REF!,""),"")</f>
        <v/>
      </c>
      <c r="BR15" s="12" t="str">
        <f>IFERROR(_xlfn.XLOOKUP($I15,#REF!,#REF!,""),"")</f>
        <v/>
      </c>
      <c r="BS15" s="12" t="str">
        <f>IFERROR(_xlfn.XLOOKUP($I15,#REF!,#REF!,""),"")</f>
        <v/>
      </c>
      <c r="BT15" s="11" t="str">
        <f>IFERROR(_xlfn.XLOOKUP($I15,#REF!,#REF!,""),"")</f>
        <v/>
      </c>
      <c r="BU15" s="11" t="str">
        <f>IFERROR(_xlfn.XLOOKUP($I15,#REF!,#REF!,""),"")</f>
        <v/>
      </c>
      <c r="BV15" s="32" t="str">
        <f>IFERROR(_xlfn.XLOOKUP($I15,#REF!,#REF!,""),"")</f>
        <v/>
      </c>
      <c r="BW15" s="12" t="str">
        <f>IFERROR(_xlfn.XLOOKUP($I15,#REF!,#REF!,""),"")</f>
        <v/>
      </c>
    </row>
    <row r="16" spans="3:78" ht="87" customHeight="1" x14ac:dyDescent="0.3">
      <c r="C16" s="22" t="str">
        <f>IFERROR(_xlfn.XLOOKUP($I16,#REF!,#REF!,""),"")</f>
        <v/>
      </c>
      <c r="D16" s="19" t="str">
        <f>IFERROR(_xlfn.XLOOKUP($I16,#REF!,#REF!,""),"")</f>
        <v/>
      </c>
      <c r="E16" s="23" t="str">
        <f>IFERROR(_xlfn.XLOOKUP($I16,#REF!,#REF!,""),"")</f>
        <v/>
      </c>
      <c r="F16" s="19" t="str">
        <f>IFERROR(_xlfn.XLOOKUP($I16,#REF!,#REF!,""),"")</f>
        <v/>
      </c>
      <c r="G16" s="19" t="str">
        <f>IFERROR(_xlfn.XLOOKUP($I16,#REF!,#REF!,""),"")</f>
        <v/>
      </c>
      <c r="H16" s="19" t="str">
        <f>IFERROR(_xlfn.XLOOKUP($I16,#REF!,#REF!,""),"")</f>
        <v/>
      </c>
      <c r="I16" s="77">
        <v>111116</v>
      </c>
      <c r="J16" s="12" t="str" cm="1">
        <f t="array" ref="J16">IFERROR(_xlfn.XLOOKUP($I16,#REF!,_xlfn.XLOOKUP(J$10,#REF!,#REF!,"",0,1),""),"")</f>
        <v/>
      </c>
      <c r="K16" s="12" t="str" cm="1">
        <f t="array" ref="K16">IFERROR(_xlfn.XLOOKUP($I16,#REF!,_xlfn.XLOOKUP(K$10,#REF!,#REF!,"",0,1),""),"")</f>
        <v/>
      </c>
      <c r="L16" s="12" t="str" cm="1">
        <f t="array" ref="L16">IFERROR(_xlfn.XLOOKUP($I16,#REF!,_xlfn.XLOOKUP(L$10,#REF!,#REF!,"",0,1),""),"")</f>
        <v/>
      </c>
      <c r="M16" s="36" t="str" cm="1">
        <f t="array" ref="M16">IFERROR(_xlfn.XLOOKUP($I16,#REF!,_xlfn.XLOOKUP(M$10,#REF!,#REF!,"",0,1),""),"")</f>
        <v/>
      </c>
      <c r="N16" s="37" t="str" cm="1">
        <f t="array" ref="N16">IFERROR(_xlfn.XLOOKUP($I16,#REF!,_xlfn.XLOOKUP(N$10,#REF!,#REF!,"",0,1),""),"")</f>
        <v/>
      </c>
      <c r="O16" s="12" t="str" cm="1">
        <f t="array" ref="O16">IFERROR(_xlfn.XLOOKUP($I16,#REF!,_xlfn.XLOOKUP(O$10,#REF!,#REF!,"",0,1),""),"")</f>
        <v/>
      </c>
      <c r="P16" s="12" t="str" cm="1">
        <f t="array" ref="P16">IFERROR(_xlfn.XLOOKUP($I16,#REF!,_xlfn.XLOOKUP(P$10,#REF!,#REF!,"",0,1),""),"")</f>
        <v/>
      </c>
      <c r="Q16" s="12" t="str" cm="1">
        <f t="array" ref="Q16">IFERROR(_xlfn.XLOOKUP($I16,#REF!,_xlfn.XLOOKUP(Q$10,#REF!,#REF!,"",0,1),""),"")</f>
        <v/>
      </c>
      <c r="R16" s="12" t="str" cm="1">
        <f t="array" ref="R16">IFERROR(_xlfn.XLOOKUP($I16,#REF!,_xlfn.XLOOKUP(R$10,#REF!,#REF!,"",0,1),""),"")</f>
        <v/>
      </c>
      <c r="S16" s="12" t="str">
        <f>IFERROR(_xlfn.XLOOKUP($I16,#REF!,#REF!,""),"")</f>
        <v/>
      </c>
      <c r="T16" s="12" t="str">
        <f>IFERROR(_xlfn.XLOOKUP($I16,#REF!,#REF!,""),"")</f>
        <v/>
      </c>
      <c r="U16" s="12" t="str">
        <f>IFERROR(_xlfn.XLOOKUP($I16,#REF!,#REF!,""),"")</f>
        <v/>
      </c>
      <c r="V16" s="12" t="str">
        <f>IFERROR(_xlfn.XLOOKUP($I16,#REF!,#REF!,""),"")</f>
        <v/>
      </c>
      <c r="W16" s="74" t="str" cm="1">
        <f t="array" ref="W16">IFERROR(_xlfn.XLOOKUP($I16,#REF!,_xlfn.XLOOKUP(W$10,#REF!,#REF!,"",0,1),""),"")</f>
        <v/>
      </c>
      <c r="X16" s="74" t="str" cm="1">
        <f t="array" ref="X16">IFERROR(_xlfn.XLOOKUP($I16,#REF!,_xlfn.XLOOKUP(X$10,#REF!,#REF!,"",0,1),""),"")</f>
        <v/>
      </c>
      <c r="Y16" s="74" t="str" cm="1">
        <f t="array" ref="Y16">IFERROR(_xlfn.XLOOKUP($I16,#REF!,_xlfn.XLOOKUP(Y$10,#REF!,#REF!,"",0,1),""),"")</f>
        <v/>
      </c>
      <c r="Z16" s="74" t="str" cm="1">
        <f t="array" ref="Z16">IFERROR(_xlfn.XLOOKUP($I16,#REF!,_xlfn.XLOOKUP(Z$10,#REF!,#REF!,"",0,1),""),"")</f>
        <v/>
      </c>
      <c r="AA16" s="74" t="str" cm="1">
        <f t="array" ref="AA16">IFERROR(_xlfn.XLOOKUP($I16,#REF!,_xlfn.XLOOKUP(AA$10,#REF!,#REF!,"",0,1),""),"")</f>
        <v/>
      </c>
      <c r="AB16" s="12" t="str" cm="1">
        <f t="array" ref="AB16">IFERROR(_xlfn.XLOOKUP($I16,#REF!,_xlfn.XLOOKUP(AB$10,#REF!,#REF!,"",0,1),""),"")</f>
        <v/>
      </c>
      <c r="AC16" s="52" t="str" cm="1">
        <f t="array" ref="AC16">IFERROR(_xlfn.XLOOKUP($I16,#REF!,_xlfn.XLOOKUP(AC$10,#REF!,#REF!,"",0,1),""),"")</f>
        <v/>
      </c>
      <c r="AD16" s="12" t="str" cm="1">
        <f t="array" ref="AD16">IFERROR(_xlfn.XLOOKUP($I16,#REF!,_xlfn.XLOOKUP(AD$10,#REF!,#REF!,"",0,1),""),"")</f>
        <v/>
      </c>
      <c r="AE16" s="12"/>
      <c r="AF16" s="12" t="str" cm="1">
        <f t="array" ref="AF16">IFERROR(_xlfn.XLOOKUP($I16,#REF!,_xlfn.XLOOKUP(AF$10,#REF!,#REF!,"",0,1),""),"")</f>
        <v/>
      </c>
      <c r="AG16" s="12" t="str" cm="1">
        <f t="array" ref="AG16">IFERROR(_xlfn.XLOOKUP($I16,#REF!,_xlfn.XLOOKUP(AG$10,#REF!,#REF!,"",0,1),""),"")</f>
        <v/>
      </c>
      <c r="AH16" s="12" t="str" cm="1">
        <f t="array" ref="AH16">IFERROR(_xlfn.XLOOKUP($I16,#REF!,_xlfn.XLOOKUP(AH$10,#REF!,#REF!,"",0,1),""),"")</f>
        <v/>
      </c>
      <c r="AI16" s="12" t="str" cm="1">
        <f t="array" ref="AI16">IFERROR(_xlfn.XLOOKUP($I16,#REF!,_xlfn.XLOOKUP(AI$10,#REF!,#REF!,"",0,1),""),"")</f>
        <v/>
      </c>
      <c r="AJ16" s="12"/>
      <c r="AK16" s="12"/>
      <c r="AL16" s="11" t="str" cm="1">
        <f t="array" ref="AL16">IFERROR(_xlfn.XLOOKUP($I16,#REF!,_xlfn.XLOOKUP(AL$10,#REF!,#REF!,"",0,1),""),"")</f>
        <v/>
      </c>
      <c r="AM16" s="11" t="str" cm="1">
        <f t="array" ref="AM16">IFERROR(_xlfn.XLOOKUP($I16,#REF!,_xlfn.XLOOKUP(AM$10,#REF!,#REF!,"",0,1),""),"")</f>
        <v/>
      </c>
      <c r="AN16" s="11" t="str" cm="1">
        <f t="array" ref="AN16">IFERROR(_xlfn.XLOOKUP($I16,#REF!,_xlfn.XLOOKUP(AN$10,#REF!,#REF!,"",0,1),""),"")</f>
        <v/>
      </c>
      <c r="AO16" s="11" t="str" cm="1">
        <f t="array" ref="AO16">IFERROR(_xlfn.XLOOKUP($I16,#REF!,_xlfn.XLOOKUP(AO$10,#REF!,#REF!,"",0,1),""),"")</f>
        <v/>
      </c>
      <c r="AP16" s="11" t="str" cm="1">
        <f t="array" ref="AP16">IFERROR(_xlfn.XLOOKUP($I16,#REF!,_xlfn.XLOOKUP(AP$10,#REF!,#REF!,"",0,1),""),"")</f>
        <v/>
      </c>
      <c r="AQ16" s="11" t="str" cm="1">
        <f t="array" ref="AQ16">IFERROR(_xlfn.XLOOKUP($I16,#REF!,_xlfn.XLOOKUP(AQ$10,#REF!,#REF!,"",0,1),""),"")</f>
        <v/>
      </c>
      <c r="AR16" s="12" t="str" cm="1">
        <f t="array" ref="AR16">IFERROR(_xlfn.XLOOKUP($I16,#REF!,_xlfn.XLOOKUP(AR$10,#REF!,#REF!,"",0,1),""),"")</f>
        <v/>
      </c>
      <c r="AS16" s="12" t="str" cm="1">
        <f t="array" ref="AS16">IFERROR(_xlfn.XLOOKUP($I16,#REF!,_xlfn.XLOOKUP(AS$10,#REF!,#REF!,"",0,1),""),"")</f>
        <v/>
      </c>
      <c r="AT16" s="12" t="str" cm="1">
        <f t="array" ref="AT16">IFERROR(_xlfn.XLOOKUP($I16,#REF!,_xlfn.XLOOKUP(AT$10,#REF!,#REF!,"",0,1),""),"")</f>
        <v/>
      </c>
      <c r="AU16" s="12" t="str" cm="1">
        <f t="array" ref="AU16">IFERROR(_xlfn.XLOOKUP($I16,#REF!,_xlfn.XLOOKUP(AU$10,#REF!,#REF!,"",0,1),""),"")</f>
        <v/>
      </c>
      <c r="AV16" s="12" t="str" cm="1">
        <f t="array" ref="AV16">IFERROR(_xlfn.XLOOKUP($I16,#REF!,_xlfn.XLOOKUP(AV$10,#REF!,#REF!,"",0,1),""),"")</f>
        <v/>
      </c>
      <c r="AW16" s="12" t="str">
        <f>IFERROR(_xlfn.XLOOKUP($I16,#REF!,#REF!,""),"")</f>
        <v/>
      </c>
      <c r="AX16" s="12" t="str">
        <f>IFERROR(_xlfn.XLOOKUP($I16,#REF!,#REF!,""),"")</f>
        <v/>
      </c>
      <c r="AY16" s="12" t="str">
        <f>IFERROR(_xlfn.XLOOKUP($I16,#REF!,#REF!,""),"")</f>
        <v/>
      </c>
      <c r="AZ16" s="11" t="str" cm="1">
        <f t="array" ref="AZ16">IFERROR(_xlfn.XLOOKUP($I16,#REF!,_xlfn.XLOOKUP(AZ$10,#REF!,#REF!,"",0,1),""),"")</f>
        <v/>
      </c>
      <c r="BA16" s="11" t="str" cm="1">
        <f t="array" ref="BA16">IFERROR(_xlfn.XLOOKUP($I16,#REF!,_xlfn.XLOOKUP(BA$10,#REF!,#REF!,"",0,1),""),"")</f>
        <v/>
      </c>
      <c r="BB16" s="11" t="str">
        <f>IFERROR(_xlfn.XLOOKUP($I16,#REF!,#REF!,""),"")</f>
        <v/>
      </c>
      <c r="BC16" s="11" t="str">
        <f>IFERROR(_xlfn.XLOOKUP($I16,#REF!,#REF!,""),"")</f>
        <v/>
      </c>
      <c r="BD16" s="12" t="str" cm="1">
        <f t="array" ref="BD16">IFERROR(_xlfn.XLOOKUP($I16,#REF!,_xlfn.XLOOKUP(BD$10,#REF!,#REF!,"",0,1),""),"")</f>
        <v/>
      </c>
      <c r="BE16" s="12" t="str" cm="1">
        <f t="array" ref="BE16">IFERROR(_xlfn.XLOOKUP($I16,#REF!,_xlfn.XLOOKUP(BE$10,#REF!,#REF!,"",0,1),""),"")</f>
        <v/>
      </c>
      <c r="BF16" s="12" t="str" cm="1">
        <f t="array" ref="BF16">IFERROR(_xlfn.XLOOKUP($I16,#REF!,_xlfn.XLOOKUP(BF$10,#REF!,#REF!,"",0,1),""),"")</f>
        <v/>
      </c>
      <c r="BG16" s="12" t="str" cm="1">
        <f t="array" ref="BG16">IFERROR(_xlfn.XLOOKUP($I16,#REF!,_xlfn.XLOOKUP(BG$10,#REF!,#REF!,"",0,1),""),"")</f>
        <v/>
      </c>
      <c r="BH16" s="12" t="str" cm="1">
        <f t="array" ref="BH16">IFERROR(_xlfn.XLOOKUP($I16,#REF!,_xlfn.XLOOKUP(BH$10,#REF!,#REF!,"",0,1),""),"")</f>
        <v/>
      </c>
      <c r="BI16" s="12" t="str" cm="1">
        <f t="array" ref="BI16">IFERROR(_xlfn.XLOOKUP($I16,#REF!,_xlfn.XLOOKUP(BI$10,#REF!,#REF!,"",0,1),""),"")</f>
        <v/>
      </c>
      <c r="BJ16" s="12" t="str" cm="1">
        <f t="array" ref="BJ16">IFERROR(_xlfn.XLOOKUP($I16,#REF!,_xlfn.XLOOKUP(BJ$10,#REF!,#REF!,"",0,1),""),"")</f>
        <v/>
      </c>
      <c r="BK16" s="12" t="str" cm="1">
        <f t="array" ref="BK16">IFERROR(_xlfn.XLOOKUP($I16,#REF!,_xlfn.XLOOKUP(BK$10,#REF!,#REF!,"",0,1),""),"")</f>
        <v/>
      </c>
      <c r="BL16" s="12" t="str" cm="1">
        <f t="array" ref="BL16">IFERROR(_xlfn.XLOOKUP($I16,#REF!,_xlfn.XLOOKUP(BL$10,#REF!,#REF!,"",0,1),""),"")</f>
        <v/>
      </c>
      <c r="BM16" s="12" t="str">
        <f>IFERROR(_xlfn.XLOOKUP($I16,#REF!,#REF!,""),"")</f>
        <v/>
      </c>
      <c r="BN16" s="12" t="str">
        <f>IFERROR(_xlfn.XLOOKUP($I16,#REF!,#REF!,""),"")</f>
        <v/>
      </c>
      <c r="BO16" s="12" t="str">
        <f>IFERROR(_xlfn.XLOOKUP($I16,#REF!,#REF!,""),"")</f>
        <v/>
      </c>
      <c r="BP16" s="12" t="str" cm="1">
        <f t="array" ref="BP16">IFERROR(_xlfn.XLOOKUP($I16,#REF!,_xlfn.XLOOKUP(BP$10,#REF!,#REF!,"",0,1),""),"")</f>
        <v/>
      </c>
      <c r="BQ16" s="12" t="str">
        <f>IFERROR(_xlfn.XLOOKUP($I16,#REF!,#REF!,""),"")</f>
        <v/>
      </c>
      <c r="BR16" s="12" t="str">
        <f>IFERROR(_xlfn.XLOOKUP($I16,#REF!,#REF!,""),"")</f>
        <v/>
      </c>
      <c r="BS16" s="12" t="str">
        <f>IFERROR(_xlfn.XLOOKUP($I16,#REF!,#REF!,""),"")</f>
        <v/>
      </c>
      <c r="BT16" s="11" t="str">
        <f>IFERROR(_xlfn.XLOOKUP($I16,#REF!,#REF!,""),"")</f>
        <v/>
      </c>
      <c r="BU16" s="11" t="str">
        <f>IFERROR(_xlfn.XLOOKUP($I16,#REF!,#REF!,""),"")</f>
        <v/>
      </c>
      <c r="BV16" s="32" t="str">
        <f>IFERROR(_xlfn.XLOOKUP($I16,#REF!,#REF!,""),"")</f>
        <v/>
      </c>
      <c r="BW16" s="12" t="str">
        <f>IFERROR(_xlfn.XLOOKUP($I16,#REF!,#REF!,""),"")</f>
        <v/>
      </c>
    </row>
    <row r="17" spans="3:75" ht="52.35" customHeight="1" x14ac:dyDescent="0.3">
      <c r="C17" s="22" t="str">
        <f>IFERROR(_xlfn.XLOOKUP($I17,#REF!,#REF!,""),"")</f>
        <v/>
      </c>
      <c r="D17" s="19" t="str">
        <f>IFERROR(_xlfn.XLOOKUP($I17,#REF!,#REF!,""),"")</f>
        <v/>
      </c>
      <c r="E17" s="23" t="str">
        <f>IFERROR(_xlfn.XLOOKUP($I17,#REF!,#REF!,""),"")</f>
        <v/>
      </c>
      <c r="F17" s="19" t="str">
        <f>IFERROR(_xlfn.XLOOKUP($I17,#REF!,#REF!,""),"")</f>
        <v/>
      </c>
      <c r="G17" s="19" t="str">
        <f>IFERROR(_xlfn.XLOOKUP($I17,#REF!,#REF!,""),"")</f>
        <v/>
      </c>
      <c r="H17" s="19" t="str">
        <f>IFERROR(_xlfn.XLOOKUP($I17,#REF!,#REF!,""),"")</f>
        <v/>
      </c>
      <c r="I17" s="77">
        <v>101388</v>
      </c>
      <c r="J17" s="12" t="str" cm="1">
        <f t="array" ref="J17">IFERROR(_xlfn.XLOOKUP($I17,#REF!,_xlfn.XLOOKUP(J$10,#REF!,#REF!,"",0,1),""),"")</f>
        <v/>
      </c>
      <c r="K17" s="12" t="str" cm="1">
        <f t="array" ref="K17">IFERROR(_xlfn.XLOOKUP($I17,#REF!,_xlfn.XLOOKUP(K$10,#REF!,#REF!,"",0,1),""),"")</f>
        <v/>
      </c>
      <c r="L17" s="12" t="str" cm="1">
        <f t="array" ref="L17">IFERROR(_xlfn.XLOOKUP($I17,#REF!,_xlfn.XLOOKUP(L$10,#REF!,#REF!,"",0,1),""),"")</f>
        <v/>
      </c>
      <c r="M17" s="36" t="str" cm="1">
        <f t="array" ref="M17">IFERROR(_xlfn.XLOOKUP($I17,#REF!,_xlfn.XLOOKUP(M$10,#REF!,#REF!,"",0,1),""),"")</f>
        <v/>
      </c>
      <c r="N17" s="37" t="str" cm="1">
        <f t="array" ref="N17">IFERROR(_xlfn.XLOOKUP($I17,#REF!,_xlfn.XLOOKUP(N$10,#REF!,#REF!,"",0,1),""),"")</f>
        <v/>
      </c>
      <c r="O17" s="12" t="str" cm="1">
        <f t="array" ref="O17">IFERROR(_xlfn.XLOOKUP($I17,#REF!,_xlfn.XLOOKUP(O$10,#REF!,#REF!,"",0,1),""),"")</f>
        <v/>
      </c>
      <c r="P17" s="12" t="str" cm="1">
        <f t="array" ref="P17">IFERROR(_xlfn.XLOOKUP($I17,#REF!,_xlfn.XLOOKUP(P$10,#REF!,#REF!,"",0,1),""),"")</f>
        <v/>
      </c>
      <c r="Q17" s="12" t="str" cm="1">
        <f t="array" ref="Q17">IFERROR(_xlfn.XLOOKUP($I17,#REF!,_xlfn.XLOOKUP(Q$10,#REF!,#REF!,"",0,1),""),"")</f>
        <v/>
      </c>
      <c r="R17" s="12" t="str" cm="1">
        <f t="array" ref="R17">IFERROR(_xlfn.XLOOKUP($I17,#REF!,_xlfn.XLOOKUP(R$10,#REF!,#REF!,"",0,1),""),"")</f>
        <v/>
      </c>
      <c r="S17" s="12" t="str">
        <f>IFERROR(_xlfn.XLOOKUP($I17,#REF!,#REF!,""),"")</f>
        <v/>
      </c>
      <c r="T17" s="12" t="str">
        <f>IFERROR(_xlfn.XLOOKUP($I17,#REF!,#REF!,""),"")</f>
        <v/>
      </c>
      <c r="U17" s="12" t="str">
        <f>IFERROR(_xlfn.XLOOKUP($I17,#REF!,#REF!,""),"")</f>
        <v/>
      </c>
      <c r="V17" s="12" t="str">
        <f>IFERROR(_xlfn.XLOOKUP($I17,#REF!,#REF!,""),"")</f>
        <v/>
      </c>
      <c r="W17" s="74" t="str" cm="1">
        <f t="array" ref="W17">IFERROR(_xlfn.XLOOKUP($I17,#REF!,_xlfn.XLOOKUP(W$10,#REF!,#REF!,"",0,1),""),"")</f>
        <v/>
      </c>
      <c r="X17" s="74" t="str" cm="1">
        <f t="array" ref="X17">IFERROR(_xlfn.XLOOKUP($I17,#REF!,_xlfn.XLOOKUP(X$10,#REF!,#REF!,"",0,1),""),"")</f>
        <v/>
      </c>
      <c r="Y17" s="74" t="str" cm="1">
        <f t="array" ref="Y17">IFERROR(_xlfn.XLOOKUP($I17,#REF!,_xlfn.XLOOKUP(Y$10,#REF!,#REF!,"",0,1),""),"")</f>
        <v/>
      </c>
      <c r="Z17" s="74" t="str" cm="1">
        <f t="array" ref="Z17">IFERROR(_xlfn.XLOOKUP($I17,#REF!,_xlfn.XLOOKUP(Z$10,#REF!,#REF!,"",0,1),""),"")</f>
        <v/>
      </c>
      <c r="AA17" s="74" t="str" cm="1">
        <f t="array" ref="AA17">IFERROR(_xlfn.XLOOKUP($I17,#REF!,_xlfn.XLOOKUP(AA$10,#REF!,#REF!,"",0,1),""),"")</f>
        <v/>
      </c>
      <c r="AB17" s="12" t="str" cm="1">
        <f t="array" ref="AB17">IFERROR(_xlfn.XLOOKUP($I17,#REF!,_xlfn.XLOOKUP(AB$10,#REF!,#REF!,"",0,1),""),"")</f>
        <v/>
      </c>
      <c r="AC17" s="52" t="str" cm="1">
        <f t="array" ref="AC17">IFERROR(_xlfn.XLOOKUP($I17,#REF!,_xlfn.XLOOKUP(AC$10,#REF!,#REF!,"",0,1),""),"")</f>
        <v/>
      </c>
      <c r="AD17" s="12" t="str" cm="1">
        <f t="array" ref="AD17">IFERROR(_xlfn.XLOOKUP($I17,#REF!,_xlfn.XLOOKUP(AD$10,#REF!,#REF!,"",0,1),""),"")</f>
        <v/>
      </c>
      <c r="AE17" s="12"/>
      <c r="AF17" s="12" t="str" cm="1">
        <f t="array" ref="AF17">IFERROR(_xlfn.XLOOKUP($I17,#REF!,_xlfn.XLOOKUP(AF$10,#REF!,#REF!,"",0,1),""),"")</f>
        <v/>
      </c>
      <c r="AG17" s="12" t="str" cm="1">
        <f t="array" ref="AG17">IFERROR(_xlfn.XLOOKUP($I17,#REF!,_xlfn.XLOOKUP(AG$10,#REF!,#REF!,"",0,1),""),"")</f>
        <v/>
      </c>
      <c r="AH17" s="12" t="str" cm="1">
        <f t="array" ref="AH17">IFERROR(_xlfn.XLOOKUP($I17,#REF!,_xlfn.XLOOKUP(AH$10,#REF!,#REF!,"",0,1),""),"")</f>
        <v/>
      </c>
      <c r="AI17" s="12" t="str" cm="1">
        <f t="array" ref="AI17">IFERROR(_xlfn.XLOOKUP($I17,#REF!,_xlfn.XLOOKUP(AI$10,#REF!,#REF!,"",0,1),""),"")</f>
        <v/>
      </c>
      <c r="AJ17" s="12"/>
      <c r="AK17" s="12"/>
      <c r="AL17" s="11" t="str" cm="1">
        <f t="array" ref="AL17">IFERROR(_xlfn.XLOOKUP($I17,#REF!,_xlfn.XLOOKUP(AL$10,#REF!,#REF!,"",0,1),""),"")</f>
        <v/>
      </c>
      <c r="AM17" s="11" t="str" cm="1">
        <f t="array" ref="AM17">IFERROR(_xlfn.XLOOKUP($I17,#REF!,_xlfn.XLOOKUP(AM$10,#REF!,#REF!,"",0,1),""),"")</f>
        <v/>
      </c>
      <c r="AN17" s="11" t="str" cm="1">
        <f t="array" ref="AN17">IFERROR(_xlfn.XLOOKUP($I17,#REF!,_xlfn.XLOOKUP(AN$10,#REF!,#REF!,"",0,1),""),"")</f>
        <v/>
      </c>
      <c r="AO17" s="11" t="str" cm="1">
        <f t="array" ref="AO17">IFERROR(_xlfn.XLOOKUP($I17,#REF!,_xlfn.XLOOKUP(AO$10,#REF!,#REF!,"",0,1),""),"")</f>
        <v/>
      </c>
      <c r="AP17" s="11" t="str" cm="1">
        <f t="array" ref="AP17">IFERROR(_xlfn.XLOOKUP($I17,#REF!,_xlfn.XLOOKUP(AP$10,#REF!,#REF!,"",0,1),""),"")</f>
        <v/>
      </c>
      <c r="AQ17" s="11" t="str" cm="1">
        <f t="array" ref="AQ17">IFERROR(_xlfn.XLOOKUP($I17,#REF!,_xlfn.XLOOKUP(AQ$10,#REF!,#REF!,"",0,1),""),"")</f>
        <v/>
      </c>
      <c r="AR17" s="12" t="str" cm="1">
        <f t="array" ref="AR17">IFERROR(_xlfn.XLOOKUP($I17,#REF!,_xlfn.XLOOKUP(AR$10,#REF!,#REF!,"",0,1),""),"")</f>
        <v/>
      </c>
      <c r="AS17" s="12" t="str" cm="1">
        <f t="array" ref="AS17">IFERROR(_xlfn.XLOOKUP($I17,#REF!,_xlfn.XLOOKUP(AS$10,#REF!,#REF!,"",0,1),""),"")</f>
        <v/>
      </c>
      <c r="AT17" s="12" t="str" cm="1">
        <f t="array" ref="AT17">IFERROR(_xlfn.XLOOKUP($I17,#REF!,_xlfn.XLOOKUP(AT$10,#REF!,#REF!,"",0,1),""),"")</f>
        <v/>
      </c>
      <c r="AU17" s="12" t="str" cm="1">
        <f t="array" ref="AU17">IFERROR(_xlfn.XLOOKUP($I17,#REF!,_xlfn.XLOOKUP(AU$10,#REF!,#REF!,"",0,1),""),"")</f>
        <v/>
      </c>
      <c r="AV17" s="12" t="str" cm="1">
        <f t="array" ref="AV17">IFERROR(_xlfn.XLOOKUP($I17,#REF!,_xlfn.XLOOKUP(AV$10,#REF!,#REF!,"",0,1),""),"")</f>
        <v/>
      </c>
      <c r="AW17" s="12" t="str">
        <f>IFERROR(_xlfn.XLOOKUP($I17,#REF!,#REF!,""),"")</f>
        <v/>
      </c>
      <c r="AX17" s="12" t="str">
        <f>IFERROR(_xlfn.XLOOKUP($I17,#REF!,#REF!,""),"")</f>
        <v/>
      </c>
      <c r="AY17" s="12" t="str">
        <f>IFERROR(_xlfn.XLOOKUP($I17,#REF!,#REF!,""),"")</f>
        <v/>
      </c>
      <c r="AZ17" s="11" t="str" cm="1">
        <f t="array" ref="AZ17">IFERROR(_xlfn.XLOOKUP($I17,#REF!,_xlfn.XLOOKUP(AZ$10,#REF!,#REF!,"",0,1),""),"")</f>
        <v/>
      </c>
      <c r="BA17" s="11" t="str" cm="1">
        <f t="array" ref="BA17">IFERROR(_xlfn.XLOOKUP($I17,#REF!,_xlfn.XLOOKUP(BA$10,#REF!,#REF!,"",0,1),""),"")</f>
        <v/>
      </c>
      <c r="BB17" s="11" t="str">
        <f>IFERROR(_xlfn.XLOOKUP($I17,#REF!,#REF!,""),"")</f>
        <v/>
      </c>
      <c r="BC17" s="11" t="str">
        <f>IFERROR(_xlfn.XLOOKUP($I17,#REF!,#REF!,""),"")</f>
        <v/>
      </c>
      <c r="BD17" s="12" t="str" cm="1">
        <f t="array" ref="BD17">IFERROR(_xlfn.XLOOKUP($I17,#REF!,_xlfn.XLOOKUP(BD$10,#REF!,#REF!,"",0,1),""),"")</f>
        <v/>
      </c>
      <c r="BE17" s="12" t="str" cm="1">
        <f t="array" ref="BE17">IFERROR(_xlfn.XLOOKUP($I17,#REF!,_xlfn.XLOOKUP(BE$10,#REF!,#REF!,"",0,1),""),"")</f>
        <v/>
      </c>
      <c r="BF17" s="12" t="str" cm="1">
        <f t="array" ref="BF17">IFERROR(_xlfn.XLOOKUP($I17,#REF!,_xlfn.XLOOKUP(BF$10,#REF!,#REF!,"",0,1),""),"")</f>
        <v/>
      </c>
      <c r="BG17" s="12" t="str" cm="1">
        <f t="array" ref="BG17">IFERROR(_xlfn.XLOOKUP($I17,#REF!,_xlfn.XLOOKUP(BG$10,#REF!,#REF!,"",0,1),""),"")</f>
        <v/>
      </c>
      <c r="BH17" s="12" t="str" cm="1">
        <f t="array" ref="BH17">IFERROR(_xlfn.XLOOKUP($I17,#REF!,_xlfn.XLOOKUP(BH$10,#REF!,#REF!,"",0,1),""),"")</f>
        <v/>
      </c>
      <c r="BI17" s="12" t="str" cm="1">
        <f t="array" ref="BI17">IFERROR(_xlfn.XLOOKUP($I17,#REF!,_xlfn.XLOOKUP(BI$10,#REF!,#REF!,"",0,1),""),"")</f>
        <v/>
      </c>
      <c r="BJ17" s="12" t="str" cm="1">
        <f t="array" ref="BJ17">IFERROR(_xlfn.XLOOKUP($I17,#REF!,_xlfn.XLOOKUP(BJ$10,#REF!,#REF!,"",0,1),""),"")</f>
        <v/>
      </c>
      <c r="BK17" s="12" t="str" cm="1">
        <f t="array" ref="BK17">IFERROR(_xlfn.XLOOKUP($I17,#REF!,_xlfn.XLOOKUP(BK$10,#REF!,#REF!,"",0,1),""),"")</f>
        <v/>
      </c>
      <c r="BL17" s="12" t="str" cm="1">
        <f t="array" ref="BL17">IFERROR(_xlfn.XLOOKUP($I17,#REF!,_xlfn.XLOOKUP(BL$10,#REF!,#REF!,"",0,1),""),"")</f>
        <v/>
      </c>
      <c r="BM17" s="12" t="str">
        <f>IFERROR(_xlfn.XLOOKUP($I17,#REF!,#REF!,""),"")</f>
        <v/>
      </c>
      <c r="BN17" s="12" t="str">
        <f>IFERROR(_xlfn.XLOOKUP($I17,#REF!,#REF!,""),"")</f>
        <v/>
      </c>
      <c r="BO17" s="12" t="str">
        <f>IFERROR(_xlfn.XLOOKUP($I17,#REF!,#REF!,""),"")</f>
        <v/>
      </c>
      <c r="BP17" s="12" t="str" cm="1">
        <f t="array" ref="BP17">IFERROR(_xlfn.XLOOKUP($I17,#REF!,_xlfn.XLOOKUP(BP$10,#REF!,#REF!,"",0,1),""),"")</f>
        <v/>
      </c>
      <c r="BQ17" s="12" t="str">
        <f>IFERROR(_xlfn.XLOOKUP($I17,#REF!,#REF!,""),"")</f>
        <v/>
      </c>
      <c r="BR17" s="12" t="str">
        <f>IFERROR(_xlfn.XLOOKUP($I17,#REF!,#REF!,""),"")</f>
        <v/>
      </c>
      <c r="BS17" s="12" t="str">
        <f>IFERROR(_xlfn.XLOOKUP($I17,#REF!,#REF!,""),"")</f>
        <v/>
      </c>
      <c r="BT17" s="11" t="str">
        <f>IFERROR(_xlfn.XLOOKUP($I17,#REF!,#REF!,""),"")</f>
        <v/>
      </c>
      <c r="BU17" s="11" t="str">
        <f>IFERROR(_xlfn.XLOOKUP($I17,#REF!,#REF!,""),"")</f>
        <v/>
      </c>
      <c r="BV17" s="32" t="str">
        <f>IFERROR(_xlfn.XLOOKUP($I17,#REF!,#REF!,""),"")</f>
        <v/>
      </c>
      <c r="BW17" s="12" t="str">
        <f>IFERROR(_xlfn.XLOOKUP($I17,#REF!,#REF!,""),"")</f>
        <v/>
      </c>
    </row>
    <row r="18" spans="3:75" ht="57.6" customHeight="1" x14ac:dyDescent="0.3">
      <c r="C18" s="22" t="str">
        <f>IFERROR(_xlfn.XLOOKUP($I18,#REF!,#REF!,""),"")</f>
        <v/>
      </c>
      <c r="D18" s="19" t="str">
        <f>IFERROR(_xlfn.XLOOKUP($I18,#REF!,#REF!,""),"")</f>
        <v/>
      </c>
      <c r="E18" s="23" t="str">
        <f>IFERROR(_xlfn.XLOOKUP($I18,#REF!,#REF!,""),"")</f>
        <v/>
      </c>
      <c r="F18" s="19" t="str">
        <f>IFERROR(_xlfn.XLOOKUP($I18,#REF!,#REF!,""),"")</f>
        <v/>
      </c>
      <c r="G18" s="19" t="str">
        <f>IFERROR(_xlfn.XLOOKUP($I18,#REF!,#REF!,""),"")</f>
        <v/>
      </c>
      <c r="H18" s="19" t="str">
        <f>IFERROR(_xlfn.XLOOKUP($I18,#REF!,#REF!,""),"")</f>
        <v/>
      </c>
      <c r="I18" s="77">
        <v>54534</v>
      </c>
      <c r="J18" s="12" t="str" cm="1">
        <f t="array" ref="J18">IFERROR(_xlfn.XLOOKUP($I18,#REF!,_xlfn.XLOOKUP(J$10,#REF!,#REF!,"",0,1),""),"")</f>
        <v/>
      </c>
      <c r="K18" s="12" t="str" cm="1">
        <f t="array" ref="K18">IFERROR(_xlfn.XLOOKUP($I18,#REF!,_xlfn.XLOOKUP(K$10,#REF!,#REF!,"",0,1),""),"")</f>
        <v/>
      </c>
      <c r="L18" s="12" t="str" cm="1">
        <f t="array" ref="L18">IFERROR(_xlfn.XLOOKUP($I18,#REF!,_xlfn.XLOOKUP(L$10,#REF!,#REF!,"",0,1),""),"")</f>
        <v/>
      </c>
      <c r="M18" s="36" t="str" cm="1">
        <f t="array" ref="M18">IFERROR(_xlfn.XLOOKUP($I18,#REF!,_xlfn.XLOOKUP(M$10,#REF!,#REF!,"",0,1),""),"")</f>
        <v/>
      </c>
      <c r="N18" s="37" t="str" cm="1">
        <f t="array" ref="N18">IFERROR(_xlfn.XLOOKUP($I18,#REF!,_xlfn.XLOOKUP(N$10,#REF!,#REF!,"",0,1),""),"")</f>
        <v/>
      </c>
      <c r="O18" s="12" t="str" cm="1">
        <f t="array" ref="O18">IFERROR(_xlfn.XLOOKUP($I18,#REF!,_xlfn.XLOOKUP(O$10,#REF!,#REF!,"",0,1),""),"")</f>
        <v/>
      </c>
      <c r="P18" s="12" t="str" cm="1">
        <f t="array" ref="P18">IFERROR(_xlfn.XLOOKUP($I18,#REF!,_xlfn.XLOOKUP(P$10,#REF!,#REF!,"",0,1),""),"")</f>
        <v/>
      </c>
      <c r="Q18" s="12" t="str" cm="1">
        <f t="array" ref="Q18">IFERROR(_xlfn.XLOOKUP($I18,#REF!,_xlfn.XLOOKUP(Q$10,#REF!,#REF!,"",0,1),""),"")</f>
        <v/>
      </c>
      <c r="R18" s="12" t="str" cm="1">
        <f t="array" ref="R18">IFERROR(_xlfn.XLOOKUP($I18,#REF!,_xlfn.XLOOKUP(R$10,#REF!,#REF!,"",0,1),""),"")</f>
        <v/>
      </c>
      <c r="S18" s="12" t="str">
        <f>IFERROR(_xlfn.XLOOKUP($I18,#REF!,#REF!,""),"")</f>
        <v/>
      </c>
      <c r="T18" s="12" t="str">
        <f>IFERROR(_xlfn.XLOOKUP($I18,#REF!,#REF!,""),"")</f>
        <v/>
      </c>
      <c r="U18" s="12" t="str">
        <f>IFERROR(_xlfn.XLOOKUP($I18,#REF!,#REF!,""),"")</f>
        <v/>
      </c>
      <c r="V18" s="12" t="str">
        <f>IFERROR(_xlfn.XLOOKUP($I18,#REF!,#REF!,""),"")</f>
        <v/>
      </c>
      <c r="W18" s="74" t="str" cm="1">
        <f t="array" ref="W18">IFERROR(_xlfn.XLOOKUP($I18,#REF!,_xlfn.XLOOKUP(W$10,#REF!,#REF!,"",0,1),""),"")</f>
        <v/>
      </c>
      <c r="X18" s="74" t="str" cm="1">
        <f t="array" ref="X18">IFERROR(_xlfn.XLOOKUP($I18,#REF!,_xlfn.XLOOKUP(X$10,#REF!,#REF!,"",0,1),""),"")</f>
        <v/>
      </c>
      <c r="Y18" s="74" t="str" cm="1">
        <f t="array" ref="Y18">IFERROR(_xlfn.XLOOKUP($I18,#REF!,_xlfn.XLOOKUP(Y$10,#REF!,#REF!,"",0,1),""),"")</f>
        <v/>
      </c>
      <c r="Z18" s="74" t="str" cm="1">
        <f t="array" ref="Z18">IFERROR(_xlfn.XLOOKUP($I18,#REF!,_xlfn.XLOOKUP(Z$10,#REF!,#REF!,"",0,1),""),"")</f>
        <v/>
      </c>
      <c r="AA18" s="74" t="str" cm="1">
        <f t="array" ref="AA18">IFERROR(_xlfn.XLOOKUP($I18,#REF!,_xlfn.XLOOKUP(AA$10,#REF!,#REF!,"",0,1),""),"")</f>
        <v/>
      </c>
      <c r="AB18" s="12" t="str" cm="1">
        <f t="array" ref="AB18">IFERROR(_xlfn.XLOOKUP($I18,#REF!,_xlfn.XLOOKUP(AB$10,#REF!,#REF!,"",0,1),""),"")</f>
        <v/>
      </c>
      <c r="AC18" s="52" t="str" cm="1">
        <f t="array" ref="AC18">IFERROR(_xlfn.XLOOKUP($I18,#REF!,_xlfn.XLOOKUP(AC$10,#REF!,#REF!,"",0,1),""),"")</f>
        <v/>
      </c>
      <c r="AD18" s="12" t="str" cm="1">
        <f t="array" ref="AD18">IFERROR(_xlfn.XLOOKUP($I18,#REF!,_xlfn.XLOOKUP(AD$10,#REF!,#REF!,"",0,1),""),"")</f>
        <v/>
      </c>
      <c r="AE18" s="12"/>
      <c r="AF18" s="12" t="str" cm="1">
        <f t="array" ref="AF18">IFERROR(_xlfn.XLOOKUP($I18,#REF!,_xlfn.XLOOKUP(AF$10,#REF!,#REF!,"",0,1),""),"")</f>
        <v/>
      </c>
      <c r="AG18" s="12" t="str" cm="1">
        <f t="array" ref="AG18">IFERROR(_xlfn.XLOOKUP($I18,#REF!,_xlfn.XLOOKUP(AG$10,#REF!,#REF!,"",0,1),""),"")</f>
        <v/>
      </c>
      <c r="AH18" s="12" t="str" cm="1">
        <f t="array" ref="AH18">IFERROR(_xlfn.XLOOKUP($I18,#REF!,_xlfn.XLOOKUP(AH$10,#REF!,#REF!,"",0,1),""),"")</f>
        <v/>
      </c>
      <c r="AI18" s="12" t="str" cm="1">
        <f t="array" ref="AI18">IFERROR(_xlfn.XLOOKUP($I18,#REF!,_xlfn.XLOOKUP(AI$10,#REF!,#REF!,"",0,1),""),"")</f>
        <v/>
      </c>
      <c r="AJ18" s="12"/>
      <c r="AK18" s="12"/>
      <c r="AL18" s="11" t="str" cm="1">
        <f t="array" ref="AL18">IFERROR(_xlfn.XLOOKUP($I18,#REF!,_xlfn.XLOOKUP(AL$10,#REF!,#REF!,"",0,1),""),"")</f>
        <v/>
      </c>
      <c r="AM18" s="11" t="str" cm="1">
        <f t="array" ref="AM18">IFERROR(_xlfn.XLOOKUP($I18,#REF!,_xlfn.XLOOKUP(AM$10,#REF!,#REF!,"",0,1),""),"")</f>
        <v/>
      </c>
      <c r="AN18" s="11" t="str" cm="1">
        <f t="array" ref="AN18">IFERROR(_xlfn.XLOOKUP($I18,#REF!,_xlfn.XLOOKUP(AN$10,#REF!,#REF!,"",0,1),""),"")</f>
        <v/>
      </c>
      <c r="AO18" s="11" t="str" cm="1">
        <f t="array" ref="AO18">IFERROR(_xlfn.XLOOKUP($I18,#REF!,_xlfn.XLOOKUP(AO$10,#REF!,#REF!,"",0,1),""),"")</f>
        <v/>
      </c>
      <c r="AP18" s="11" t="str" cm="1">
        <f t="array" ref="AP18">IFERROR(_xlfn.XLOOKUP($I18,#REF!,_xlfn.XLOOKUP(AP$10,#REF!,#REF!,"",0,1),""),"")</f>
        <v/>
      </c>
      <c r="AQ18" s="11" t="str" cm="1">
        <f t="array" ref="AQ18">IFERROR(_xlfn.XLOOKUP($I18,#REF!,_xlfn.XLOOKUP(AQ$10,#REF!,#REF!,"",0,1),""),"")</f>
        <v/>
      </c>
      <c r="AR18" s="12" t="str" cm="1">
        <f t="array" ref="AR18">IFERROR(_xlfn.XLOOKUP($I18,#REF!,_xlfn.XLOOKUP(AR$10,#REF!,#REF!,"",0,1),""),"")</f>
        <v/>
      </c>
      <c r="AS18" s="12" t="str" cm="1">
        <f t="array" ref="AS18">IFERROR(_xlfn.XLOOKUP($I18,#REF!,_xlfn.XLOOKUP(AS$10,#REF!,#REF!,"",0,1),""),"")</f>
        <v/>
      </c>
      <c r="AT18" s="12" t="str" cm="1">
        <f t="array" ref="AT18">IFERROR(_xlfn.XLOOKUP($I18,#REF!,_xlfn.XLOOKUP(AT$10,#REF!,#REF!,"",0,1),""),"")</f>
        <v/>
      </c>
      <c r="AU18" s="12" t="str" cm="1">
        <f t="array" ref="AU18">IFERROR(_xlfn.XLOOKUP($I18,#REF!,_xlfn.XLOOKUP(AU$10,#REF!,#REF!,"",0,1),""),"")</f>
        <v/>
      </c>
      <c r="AV18" s="12" t="str" cm="1">
        <f t="array" ref="AV18">IFERROR(_xlfn.XLOOKUP($I18,#REF!,_xlfn.XLOOKUP(AV$10,#REF!,#REF!,"",0,1),""),"")</f>
        <v/>
      </c>
      <c r="AW18" s="12" t="str">
        <f>IFERROR(_xlfn.XLOOKUP($I18,#REF!,#REF!,""),"")</f>
        <v/>
      </c>
      <c r="AX18" s="12" t="str">
        <f>IFERROR(_xlfn.XLOOKUP($I18,#REF!,#REF!,""),"")</f>
        <v/>
      </c>
      <c r="AY18" s="12" t="str">
        <f>IFERROR(_xlfn.XLOOKUP($I18,#REF!,#REF!,""),"")</f>
        <v/>
      </c>
      <c r="AZ18" s="11" t="str" cm="1">
        <f t="array" ref="AZ18">IFERROR(_xlfn.XLOOKUP($I18,#REF!,_xlfn.XLOOKUP(AZ$10,#REF!,#REF!,"",0,1),""),"")</f>
        <v/>
      </c>
      <c r="BA18" s="11" t="str" cm="1">
        <f t="array" ref="BA18">IFERROR(_xlfn.XLOOKUP($I18,#REF!,_xlfn.XLOOKUP(BA$10,#REF!,#REF!,"",0,1),""),"")</f>
        <v/>
      </c>
      <c r="BB18" s="11" t="str">
        <f>IFERROR(_xlfn.XLOOKUP($I18,#REF!,#REF!,""),"")</f>
        <v/>
      </c>
      <c r="BC18" s="11" t="str">
        <f>IFERROR(_xlfn.XLOOKUP($I18,#REF!,#REF!,""),"")</f>
        <v/>
      </c>
      <c r="BD18" s="12" t="str" cm="1">
        <f t="array" ref="BD18">IFERROR(_xlfn.XLOOKUP($I18,#REF!,_xlfn.XLOOKUP(BD$10,#REF!,#REF!,"",0,1),""),"")</f>
        <v/>
      </c>
      <c r="BE18" s="12" t="str" cm="1">
        <f t="array" ref="BE18">IFERROR(_xlfn.XLOOKUP($I18,#REF!,_xlfn.XLOOKUP(BE$10,#REF!,#REF!,"",0,1),""),"")</f>
        <v/>
      </c>
      <c r="BF18" s="12" t="str" cm="1">
        <f t="array" ref="BF18">IFERROR(_xlfn.XLOOKUP($I18,#REF!,_xlfn.XLOOKUP(BF$10,#REF!,#REF!,"",0,1),""),"")</f>
        <v/>
      </c>
      <c r="BG18" s="12" t="str" cm="1">
        <f t="array" ref="BG18">IFERROR(_xlfn.XLOOKUP($I18,#REF!,_xlfn.XLOOKUP(BG$10,#REF!,#REF!,"",0,1),""),"")</f>
        <v/>
      </c>
      <c r="BH18" s="12" t="str" cm="1">
        <f t="array" ref="BH18">IFERROR(_xlfn.XLOOKUP($I18,#REF!,_xlfn.XLOOKUP(BH$10,#REF!,#REF!,"",0,1),""),"")</f>
        <v/>
      </c>
      <c r="BI18" s="12" t="str" cm="1">
        <f t="array" ref="BI18">IFERROR(_xlfn.XLOOKUP($I18,#REF!,_xlfn.XLOOKUP(BI$10,#REF!,#REF!,"",0,1),""),"")</f>
        <v/>
      </c>
      <c r="BJ18" s="12" t="str" cm="1">
        <f t="array" ref="BJ18">IFERROR(_xlfn.XLOOKUP($I18,#REF!,_xlfn.XLOOKUP(BJ$10,#REF!,#REF!,"",0,1),""),"")</f>
        <v/>
      </c>
      <c r="BK18" s="12" t="str" cm="1">
        <f t="array" ref="BK18">IFERROR(_xlfn.XLOOKUP($I18,#REF!,_xlfn.XLOOKUP(BK$10,#REF!,#REF!,"",0,1),""),"")</f>
        <v/>
      </c>
      <c r="BL18" s="12" t="str" cm="1">
        <f t="array" ref="BL18">IFERROR(_xlfn.XLOOKUP($I18,#REF!,_xlfn.XLOOKUP(BL$10,#REF!,#REF!,"",0,1),""),"")</f>
        <v/>
      </c>
      <c r="BM18" s="12" t="str">
        <f>IFERROR(_xlfn.XLOOKUP($I18,#REF!,#REF!,""),"")</f>
        <v/>
      </c>
      <c r="BN18" s="12" t="str">
        <f>IFERROR(_xlfn.XLOOKUP($I18,#REF!,#REF!,""),"")</f>
        <v/>
      </c>
      <c r="BO18" s="12" t="str">
        <f>IFERROR(_xlfn.XLOOKUP($I18,#REF!,#REF!,""),"")</f>
        <v/>
      </c>
      <c r="BP18" s="12" t="str" cm="1">
        <f t="array" ref="BP18">IFERROR(_xlfn.XLOOKUP($I18,#REF!,_xlfn.XLOOKUP(BP$10,#REF!,#REF!,"",0,1),""),"")</f>
        <v/>
      </c>
      <c r="BQ18" s="12" t="str">
        <f>IFERROR(_xlfn.XLOOKUP($I18,#REF!,#REF!,""),"")</f>
        <v/>
      </c>
      <c r="BR18" s="12" t="str">
        <f>IFERROR(_xlfn.XLOOKUP($I18,#REF!,#REF!,""),"")</f>
        <v/>
      </c>
      <c r="BS18" s="12" t="str">
        <f>IFERROR(_xlfn.XLOOKUP($I18,#REF!,#REF!,""),"")</f>
        <v/>
      </c>
      <c r="BT18" s="11" t="str">
        <f>IFERROR(_xlfn.XLOOKUP($I18,#REF!,#REF!,""),"")</f>
        <v/>
      </c>
      <c r="BU18" s="11" t="str">
        <f>IFERROR(_xlfn.XLOOKUP($I18,#REF!,#REF!,""),"")</f>
        <v/>
      </c>
      <c r="BV18" s="32" t="str">
        <f>IFERROR(_xlfn.XLOOKUP($I18,#REF!,#REF!,""),"")</f>
        <v/>
      </c>
      <c r="BW18" s="12" t="str">
        <f>IFERROR(_xlfn.XLOOKUP($I18,#REF!,#REF!,""),"")</f>
        <v/>
      </c>
    </row>
    <row r="19" spans="3:75" ht="52.35" customHeight="1" x14ac:dyDescent="0.3">
      <c r="C19" s="22" t="str">
        <f>IFERROR(_xlfn.XLOOKUP($I19,#REF!,#REF!,""),"")</f>
        <v/>
      </c>
      <c r="D19" s="19" t="str">
        <f>IFERROR(_xlfn.XLOOKUP($I19,#REF!,#REF!,""),"")</f>
        <v/>
      </c>
      <c r="E19" s="23" t="str">
        <f>IFERROR(_xlfn.XLOOKUP($I19,#REF!,#REF!,""),"")</f>
        <v/>
      </c>
      <c r="F19" s="19" t="str">
        <f>IFERROR(_xlfn.XLOOKUP($I19,#REF!,#REF!,""),"")</f>
        <v/>
      </c>
      <c r="G19" s="19" t="str">
        <f>IFERROR(_xlfn.XLOOKUP($I19,#REF!,#REF!,""),"")</f>
        <v/>
      </c>
      <c r="H19" s="19" t="str">
        <f>IFERROR(_xlfn.XLOOKUP($I19,#REF!,#REF!,""),"")</f>
        <v/>
      </c>
      <c r="I19" s="77">
        <v>102743</v>
      </c>
      <c r="J19" s="12" t="str" cm="1">
        <f t="array" ref="J19">IFERROR(_xlfn.XLOOKUP($I19,#REF!,_xlfn.XLOOKUP(J$10,#REF!,#REF!,"",0,1),""),"")</f>
        <v/>
      </c>
      <c r="K19" s="12" t="str" cm="1">
        <f t="array" ref="K19">IFERROR(_xlfn.XLOOKUP($I19,#REF!,_xlfn.XLOOKUP(K$10,#REF!,#REF!,"",0,1),""),"")</f>
        <v/>
      </c>
      <c r="L19" s="12" t="str" cm="1">
        <f t="array" ref="L19">IFERROR(_xlfn.XLOOKUP($I19,#REF!,_xlfn.XLOOKUP(L$10,#REF!,#REF!,"",0,1),""),"")</f>
        <v/>
      </c>
      <c r="M19" s="36" t="str" cm="1">
        <f t="array" ref="M19">IFERROR(_xlfn.XLOOKUP($I19,#REF!,_xlfn.XLOOKUP(M$10,#REF!,#REF!,"",0,1),""),"")</f>
        <v/>
      </c>
      <c r="N19" s="37" t="str" cm="1">
        <f t="array" ref="N19">IFERROR(_xlfn.XLOOKUP($I19,#REF!,_xlfn.XLOOKUP(N$10,#REF!,#REF!,"",0,1),""),"")</f>
        <v/>
      </c>
      <c r="O19" s="12" t="str" cm="1">
        <f t="array" ref="O19">IFERROR(_xlfn.XLOOKUP($I19,#REF!,_xlfn.XLOOKUP(O$10,#REF!,#REF!,"",0,1),""),"")</f>
        <v/>
      </c>
      <c r="P19" s="12" t="str" cm="1">
        <f t="array" ref="P19">IFERROR(_xlfn.XLOOKUP($I19,#REF!,_xlfn.XLOOKUP(P$10,#REF!,#REF!,"",0,1),""),"")</f>
        <v/>
      </c>
      <c r="Q19" s="12" t="str" cm="1">
        <f t="array" ref="Q19">IFERROR(_xlfn.XLOOKUP($I19,#REF!,_xlfn.XLOOKUP(Q$10,#REF!,#REF!,"",0,1),""),"")</f>
        <v/>
      </c>
      <c r="R19" s="12" t="str" cm="1">
        <f t="array" ref="R19">IFERROR(_xlfn.XLOOKUP($I19,#REF!,_xlfn.XLOOKUP(R$10,#REF!,#REF!,"",0,1),""),"")</f>
        <v/>
      </c>
      <c r="S19" s="12" t="str">
        <f>IFERROR(_xlfn.XLOOKUP($I19,#REF!,#REF!,""),"")</f>
        <v/>
      </c>
      <c r="T19" s="12" t="str">
        <f>IFERROR(_xlfn.XLOOKUP($I19,#REF!,#REF!,""),"")</f>
        <v/>
      </c>
      <c r="U19" s="12" t="str">
        <f>IFERROR(_xlfn.XLOOKUP($I19,#REF!,#REF!,""),"")</f>
        <v/>
      </c>
      <c r="V19" s="12" t="str">
        <f>IFERROR(_xlfn.XLOOKUP($I19,#REF!,#REF!,""),"")</f>
        <v/>
      </c>
      <c r="W19" s="74" t="str" cm="1">
        <f t="array" ref="W19">IFERROR(_xlfn.XLOOKUP($I19,#REF!,_xlfn.XLOOKUP(W$10,#REF!,#REF!,"",0,1),""),"")</f>
        <v/>
      </c>
      <c r="X19" s="74" t="str" cm="1">
        <f t="array" ref="X19">IFERROR(_xlfn.XLOOKUP($I19,#REF!,_xlfn.XLOOKUP(X$10,#REF!,#REF!,"",0,1),""),"")</f>
        <v/>
      </c>
      <c r="Y19" s="74" t="str" cm="1">
        <f t="array" ref="Y19">IFERROR(_xlfn.XLOOKUP($I19,#REF!,_xlfn.XLOOKUP(Y$10,#REF!,#REF!,"",0,1),""),"")</f>
        <v/>
      </c>
      <c r="Z19" s="74" t="str" cm="1">
        <f t="array" ref="Z19">IFERROR(_xlfn.XLOOKUP($I19,#REF!,_xlfn.XLOOKUP(Z$10,#REF!,#REF!,"",0,1),""),"")</f>
        <v/>
      </c>
      <c r="AA19" s="74" t="str" cm="1">
        <f t="array" ref="AA19">IFERROR(_xlfn.XLOOKUP($I19,#REF!,_xlfn.XLOOKUP(AA$10,#REF!,#REF!,"",0,1),""),"")</f>
        <v/>
      </c>
      <c r="AB19" s="12" t="str" cm="1">
        <f t="array" ref="AB19">IFERROR(_xlfn.XLOOKUP($I19,#REF!,_xlfn.XLOOKUP(AB$10,#REF!,#REF!,"",0,1),""),"")</f>
        <v/>
      </c>
      <c r="AC19" s="52" t="str" cm="1">
        <f t="array" ref="AC19">IFERROR(_xlfn.XLOOKUP($I19,#REF!,_xlfn.XLOOKUP(AC$10,#REF!,#REF!,"",0,1),""),"")</f>
        <v/>
      </c>
      <c r="AD19" s="12" t="str" cm="1">
        <f t="array" ref="AD19">IFERROR(_xlfn.XLOOKUP($I19,#REF!,_xlfn.XLOOKUP(AD$10,#REF!,#REF!,"",0,1),""),"")</f>
        <v/>
      </c>
      <c r="AE19" s="12"/>
      <c r="AF19" s="12" t="str" cm="1">
        <f t="array" ref="AF19">IFERROR(_xlfn.XLOOKUP($I19,#REF!,_xlfn.XLOOKUP(AF$10,#REF!,#REF!,"",0,1),""),"")</f>
        <v/>
      </c>
      <c r="AG19" s="12" t="str" cm="1">
        <f t="array" ref="AG19">IFERROR(_xlfn.XLOOKUP($I19,#REF!,_xlfn.XLOOKUP(AG$10,#REF!,#REF!,"",0,1),""),"")</f>
        <v/>
      </c>
      <c r="AH19" s="12" t="str" cm="1">
        <f t="array" ref="AH19">IFERROR(_xlfn.XLOOKUP($I19,#REF!,_xlfn.XLOOKUP(AH$10,#REF!,#REF!,"",0,1),""),"")</f>
        <v/>
      </c>
      <c r="AI19" s="12" t="str" cm="1">
        <f t="array" ref="AI19">IFERROR(_xlfn.XLOOKUP($I19,#REF!,_xlfn.XLOOKUP(AI$10,#REF!,#REF!,"",0,1),""),"")</f>
        <v/>
      </c>
      <c r="AJ19" s="12"/>
      <c r="AK19" s="12"/>
      <c r="AL19" s="11" t="str" cm="1">
        <f t="array" ref="AL19">IFERROR(_xlfn.XLOOKUP($I19,#REF!,_xlfn.XLOOKUP(AL$10,#REF!,#REF!,"",0,1),""),"")</f>
        <v/>
      </c>
      <c r="AM19" s="11" t="str" cm="1">
        <f t="array" ref="AM19">IFERROR(_xlfn.XLOOKUP($I19,#REF!,_xlfn.XLOOKUP(AM$10,#REF!,#REF!,"",0,1),""),"")</f>
        <v/>
      </c>
      <c r="AN19" s="11" t="str" cm="1">
        <f t="array" ref="AN19">IFERROR(_xlfn.XLOOKUP($I19,#REF!,_xlfn.XLOOKUP(AN$10,#REF!,#REF!,"",0,1),""),"")</f>
        <v/>
      </c>
      <c r="AO19" s="11" t="str" cm="1">
        <f t="array" ref="AO19">IFERROR(_xlfn.XLOOKUP($I19,#REF!,_xlfn.XLOOKUP(AO$10,#REF!,#REF!,"",0,1),""),"")</f>
        <v/>
      </c>
      <c r="AP19" s="11" t="str" cm="1">
        <f t="array" ref="AP19">IFERROR(_xlfn.XLOOKUP($I19,#REF!,_xlfn.XLOOKUP(AP$10,#REF!,#REF!,"",0,1),""),"")</f>
        <v/>
      </c>
      <c r="AQ19" s="11" t="str" cm="1">
        <f t="array" ref="AQ19">IFERROR(_xlfn.XLOOKUP($I19,#REF!,_xlfn.XLOOKUP(AQ$10,#REF!,#REF!,"",0,1),""),"")</f>
        <v/>
      </c>
      <c r="AR19" s="12" t="str" cm="1">
        <f t="array" ref="AR19">IFERROR(_xlfn.XLOOKUP($I19,#REF!,_xlfn.XLOOKUP(AR$10,#REF!,#REF!,"",0,1),""),"")</f>
        <v/>
      </c>
      <c r="AS19" s="12" t="str" cm="1">
        <f t="array" ref="AS19">IFERROR(_xlfn.XLOOKUP($I19,#REF!,_xlfn.XLOOKUP(AS$10,#REF!,#REF!,"",0,1),""),"")</f>
        <v/>
      </c>
      <c r="AT19" s="12" t="str" cm="1">
        <f t="array" ref="AT19">IFERROR(_xlfn.XLOOKUP($I19,#REF!,_xlfn.XLOOKUP(AT$10,#REF!,#REF!,"",0,1),""),"")</f>
        <v/>
      </c>
      <c r="AU19" s="12" t="str" cm="1">
        <f t="array" ref="AU19">IFERROR(_xlfn.XLOOKUP($I19,#REF!,_xlfn.XLOOKUP(AU$10,#REF!,#REF!,"",0,1),""),"")</f>
        <v/>
      </c>
      <c r="AV19" s="12" t="str" cm="1">
        <f t="array" ref="AV19">IFERROR(_xlfn.XLOOKUP($I19,#REF!,_xlfn.XLOOKUP(AV$10,#REF!,#REF!,"",0,1),""),"")</f>
        <v/>
      </c>
      <c r="AW19" s="12" t="str">
        <f>IFERROR(_xlfn.XLOOKUP($I19,#REF!,#REF!,""),"")</f>
        <v/>
      </c>
      <c r="AX19" s="12" t="str">
        <f>IFERROR(_xlfn.XLOOKUP($I19,#REF!,#REF!,""),"")</f>
        <v/>
      </c>
      <c r="AY19" s="12" t="str">
        <f>IFERROR(_xlfn.XLOOKUP($I19,#REF!,#REF!,""),"")</f>
        <v/>
      </c>
      <c r="AZ19" s="11" t="str" cm="1">
        <f t="array" ref="AZ19">IFERROR(_xlfn.XLOOKUP($I19,#REF!,_xlfn.XLOOKUP(AZ$10,#REF!,#REF!,"",0,1),""),"")</f>
        <v/>
      </c>
      <c r="BA19" s="11" t="str" cm="1">
        <f t="array" ref="BA19">IFERROR(_xlfn.XLOOKUP($I19,#REF!,_xlfn.XLOOKUP(BA$10,#REF!,#REF!,"",0,1),""),"")</f>
        <v/>
      </c>
      <c r="BB19" s="11" t="str">
        <f>IFERROR(_xlfn.XLOOKUP($I19,#REF!,#REF!,""),"")</f>
        <v/>
      </c>
      <c r="BC19" s="11" t="str">
        <f>IFERROR(_xlfn.XLOOKUP($I19,#REF!,#REF!,""),"")</f>
        <v/>
      </c>
      <c r="BD19" s="12" t="str" cm="1">
        <f t="array" ref="BD19">IFERROR(_xlfn.XLOOKUP($I19,#REF!,_xlfn.XLOOKUP(BD$10,#REF!,#REF!,"",0,1),""),"")</f>
        <v/>
      </c>
      <c r="BE19" s="12" t="str" cm="1">
        <f t="array" ref="BE19">IFERROR(_xlfn.XLOOKUP($I19,#REF!,_xlfn.XLOOKUP(BE$10,#REF!,#REF!,"",0,1),""),"")</f>
        <v/>
      </c>
      <c r="BF19" s="12" t="str" cm="1">
        <f t="array" ref="BF19">IFERROR(_xlfn.XLOOKUP($I19,#REF!,_xlfn.XLOOKUP(BF$10,#REF!,#REF!,"",0,1),""),"")</f>
        <v/>
      </c>
      <c r="BG19" s="12" t="str" cm="1">
        <f t="array" ref="BG19">IFERROR(_xlfn.XLOOKUP($I19,#REF!,_xlfn.XLOOKUP(BG$10,#REF!,#REF!,"",0,1),""),"")</f>
        <v/>
      </c>
      <c r="BH19" s="12" t="str" cm="1">
        <f t="array" ref="BH19">IFERROR(_xlfn.XLOOKUP($I19,#REF!,_xlfn.XLOOKUP(BH$10,#REF!,#REF!,"",0,1),""),"")</f>
        <v/>
      </c>
      <c r="BI19" s="12" t="str" cm="1">
        <f t="array" ref="BI19">IFERROR(_xlfn.XLOOKUP($I19,#REF!,_xlfn.XLOOKUP(BI$10,#REF!,#REF!,"",0,1),""),"")</f>
        <v/>
      </c>
      <c r="BJ19" s="12" t="str" cm="1">
        <f t="array" ref="BJ19">IFERROR(_xlfn.XLOOKUP($I19,#REF!,_xlfn.XLOOKUP(BJ$10,#REF!,#REF!,"",0,1),""),"")</f>
        <v/>
      </c>
      <c r="BK19" s="12" t="str" cm="1">
        <f t="array" ref="BK19">IFERROR(_xlfn.XLOOKUP($I19,#REF!,_xlfn.XLOOKUP(BK$10,#REF!,#REF!,"",0,1),""),"")</f>
        <v/>
      </c>
      <c r="BL19" s="12" t="str" cm="1">
        <f t="array" ref="BL19">IFERROR(_xlfn.XLOOKUP($I19,#REF!,_xlfn.XLOOKUP(BL$10,#REF!,#REF!,"",0,1),""),"")</f>
        <v/>
      </c>
      <c r="BM19" s="12" t="str">
        <f>IFERROR(_xlfn.XLOOKUP($I19,#REF!,#REF!,""),"")</f>
        <v/>
      </c>
      <c r="BN19" s="12" t="str">
        <f>IFERROR(_xlfn.XLOOKUP($I19,#REF!,#REF!,""),"")</f>
        <v/>
      </c>
      <c r="BO19" s="12" t="str">
        <f>IFERROR(_xlfn.XLOOKUP($I19,#REF!,#REF!,""),"")</f>
        <v/>
      </c>
      <c r="BP19" s="12" t="str" cm="1">
        <f t="array" ref="BP19">IFERROR(_xlfn.XLOOKUP($I19,#REF!,_xlfn.XLOOKUP(BP$10,#REF!,#REF!,"",0,1),""),"")</f>
        <v/>
      </c>
      <c r="BQ19" s="12" t="str">
        <f>IFERROR(_xlfn.XLOOKUP($I19,#REF!,#REF!,""),"")</f>
        <v/>
      </c>
      <c r="BR19" s="12" t="str">
        <f>IFERROR(_xlfn.XLOOKUP($I19,#REF!,#REF!,""),"")</f>
        <v/>
      </c>
      <c r="BS19" s="12" t="str">
        <f>IFERROR(_xlfn.XLOOKUP($I19,#REF!,#REF!,""),"")</f>
        <v/>
      </c>
      <c r="BT19" s="11" t="str">
        <f>IFERROR(_xlfn.XLOOKUP($I19,#REF!,#REF!,""),"")</f>
        <v/>
      </c>
      <c r="BU19" s="11" t="str">
        <f>IFERROR(_xlfn.XLOOKUP($I19,#REF!,#REF!,""),"")</f>
        <v/>
      </c>
      <c r="BV19" s="32" t="str">
        <f>IFERROR(_xlfn.XLOOKUP($I19,#REF!,#REF!,""),"")</f>
        <v/>
      </c>
      <c r="BW19" s="12" t="str">
        <f>IFERROR(_xlfn.XLOOKUP($I19,#REF!,#REF!,""),"")</f>
        <v/>
      </c>
    </row>
    <row r="20" spans="3:75" ht="69.599999999999994" customHeight="1" x14ac:dyDescent="0.3">
      <c r="C20" s="22" t="str">
        <f>IFERROR(_xlfn.XLOOKUP($I20,#REF!,#REF!,""),"")</f>
        <v/>
      </c>
      <c r="D20" s="19" t="str">
        <f>IFERROR(_xlfn.XLOOKUP($I20,#REF!,#REF!,""),"")</f>
        <v/>
      </c>
      <c r="E20" s="23" t="str">
        <f>IFERROR(_xlfn.XLOOKUP($I20,#REF!,#REF!,""),"")</f>
        <v/>
      </c>
      <c r="F20" s="19" t="str">
        <f>IFERROR(_xlfn.XLOOKUP($I20,#REF!,#REF!,""),"")</f>
        <v/>
      </c>
      <c r="G20" s="19" t="str">
        <f>IFERROR(_xlfn.XLOOKUP($I20,#REF!,#REF!,""),"")</f>
        <v/>
      </c>
      <c r="H20" s="19" t="str">
        <f>IFERROR(_xlfn.XLOOKUP($I20,#REF!,#REF!,""),"")</f>
        <v/>
      </c>
      <c r="I20" s="77">
        <v>10561</v>
      </c>
      <c r="J20" s="12" t="str" cm="1">
        <f t="array" ref="J20">IFERROR(_xlfn.XLOOKUP($I20,#REF!,_xlfn.XLOOKUP(J$10,#REF!,#REF!,"",0,1),""),"")</f>
        <v/>
      </c>
      <c r="K20" s="12" t="str" cm="1">
        <f t="array" ref="K20">IFERROR(_xlfn.XLOOKUP($I20,#REF!,_xlfn.XLOOKUP(K$10,#REF!,#REF!,"",0,1),""),"")</f>
        <v/>
      </c>
      <c r="L20" s="12" t="str" cm="1">
        <f t="array" ref="L20">IFERROR(_xlfn.XLOOKUP($I20,#REF!,_xlfn.XLOOKUP(L$10,#REF!,#REF!,"",0,1),""),"")</f>
        <v/>
      </c>
      <c r="M20" s="36" t="str" cm="1">
        <f t="array" ref="M20">IFERROR(_xlfn.XLOOKUP($I20,#REF!,_xlfn.XLOOKUP(M$10,#REF!,#REF!,"",0,1),""),"")</f>
        <v/>
      </c>
      <c r="N20" s="37" t="str" cm="1">
        <f t="array" ref="N20">IFERROR(_xlfn.XLOOKUP($I20,#REF!,_xlfn.XLOOKUP(N$10,#REF!,#REF!,"",0,1),""),"")</f>
        <v/>
      </c>
      <c r="O20" s="12" t="str" cm="1">
        <f t="array" ref="O20">IFERROR(_xlfn.XLOOKUP($I20,#REF!,_xlfn.XLOOKUP(O$10,#REF!,#REF!,"",0,1),""),"")</f>
        <v/>
      </c>
      <c r="P20" s="12" t="str" cm="1">
        <f t="array" ref="P20">IFERROR(_xlfn.XLOOKUP($I20,#REF!,_xlfn.XLOOKUP(P$10,#REF!,#REF!,"",0,1),""),"")</f>
        <v/>
      </c>
      <c r="Q20" s="12" t="str" cm="1">
        <f t="array" ref="Q20">IFERROR(_xlfn.XLOOKUP($I20,#REF!,_xlfn.XLOOKUP(Q$10,#REF!,#REF!,"",0,1),""),"")</f>
        <v/>
      </c>
      <c r="R20" s="12" t="str" cm="1">
        <f t="array" ref="R20">IFERROR(_xlfn.XLOOKUP($I20,#REF!,_xlfn.XLOOKUP(R$10,#REF!,#REF!,"",0,1),""),"")</f>
        <v/>
      </c>
      <c r="S20" s="12" t="str">
        <f>IFERROR(_xlfn.XLOOKUP($I20,#REF!,#REF!,""),"")</f>
        <v/>
      </c>
      <c r="T20" s="12" t="str">
        <f>IFERROR(_xlfn.XLOOKUP($I20,#REF!,#REF!,""),"")</f>
        <v/>
      </c>
      <c r="U20" s="12" t="str">
        <f>IFERROR(_xlfn.XLOOKUP($I20,#REF!,#REF!,""),"")</f>
        <v/>
      </c>
      <c r="V20" s="12" t="str">
        <f>IFERROR(_xlfn.XLOOKUP($I20,#REF!,#REF!,""),"")</f>
        <v/>
      </c>
      <c r="W20" s="74" t="str" cm="1">
        <f t="array" ref="W20">IFERROR(_xlfn.XLOOKUP($I20,#REF!,_xlfn.XLOOKUP(W$10,#REF!,#REF!,"",0,1),""),"")</f>
        <v/>
      </c>
      <c r="X20" s="74" t="str" cm="1">
        <f t="array" ref="X20">IFERROR(_xlfn.XLOOKUP($I20,#REF!,_xlfn.XLOOKUP(X$10,#REF!,#REF!,"",0,1),""),"")</f>
        <v/>
      </c>
      <c r="Y20" s="74" t="str" cm="1">
        <f t="array" ref="Y20">IFERROR(_xlfn.XLOOKUP($I20,#REF!,_xlfn.XLOOKUP(Y$10,#REF!,#REF!,"",0,1),""),"")</f>
        <v/>
      </c>
      <c r="Z20" s="74" t="str" cm="1">
        <f t="array" ref="Z20">IFERROR(_xlfn.XLOOKUP($I20,#REF!,_xlfn.XLOOKUP(Z$10,#REF!,#REF!,"",0,1),""),"")</f>
        <v/>
      </c>
      <c r="AA20" s="74" t="str" cm="1">
        <f t="array" ref="AA20">IFERROR(_xlfn.XLOOKUP($I20,#REF!,_xlfn.XLOOKUP(AA$10,#REF!,#REF!,"",0,1),""),"")</f>
        <v/>
      </c>
      <c r="AB20" s="12" t="str" cm="1">
        <f t="array" ref="AB20">IFERROR(_xlfn.XLOOKUP($I20,#REF!,_xlfn.XLOOKUP(AB$10,#REF!,#REF!,"",0,1),""),"")</f>
        <v/>
      </c>
      <c r="AC20" s="52" t="str" cm="1">
        <f t="array" ref="AC20">IFERROR(_xlfn.XLOOKUP($I20,#REF!,_xlfn.XLOOKUP(AC$10,#REF!,#REF!,"",0,1),""),"")</f>
        <v/>
      </c>
      <c r="AD20" s="12" t="str" cm="1">
        <f t="array" ref="AD20">IFERROR(_xlfn.XLOOKUP($I20,#REF!,_xlfn.XLOOKUP(AD$10,#REF!,#REF!,"",0,1),""),"")</f>
        <v/>
      </c>
      <c r="AE20" s="12"/>
      <c r="AF20" s="12" t="str" cm="1">
        <f t="array" ref="AF20">IFERROR(_xlfn.XLOOKUP($I20,#REF!,_xlfn.XLOOKUP(AF$10,#REF!,#REF!,"",0,1),""),"")</f>
        <v/>
      </c>
      <c r="AG20" s="12" t="str" cm="1">
        <f t="array" ref="AG20">IFERROR(_xlfn.XLOOKUP($I20,#REF!,_xlfn.XLOOKUP(AG$10,#REF!,#REF!,"",0,1),""),"")</f>
        <v/>
      </c>
      <c r="AH20" s="12" t="str" cm="1">
        <f t="array" ref="AH20">IFERROR(_xlfn.XLOOKUP($I20,#REF!,_xlfn.XLOOKUP(AH$10,#REF!,#REF!,"",0,1),""),"")</f>
        <v/>
      </c>
      <c r="AI20" s="12" t="str" cm="1">
        <f t="array" ref="AI20">IFERROR(_xlfn.XLOOKUP($I20,#REF!,_xlfn.XLOOKUP(AI$10,#REF!,#REF!,"",0,1),""),"")</f>
        <v/>
      </c>
      <c r="AJ20" s="12"/>
      <c r="AK20" s="12"/>
      <c r="AL20" s="11" t="str" cm="1">
        <f t="array" ref="AL20">IFERROR(_xlfn.XLOOKUP($I20,#REF!,_xlfn.XLOOKUP(AL$10,#REF!,#REF!,"",0,1),""),"")</f>
        <v/>
      </c>
      <c r="AM20" s="11" t="str" cm="1">
        <f t="array" ref="AM20">IFERROR(_xlfn.XLOOKUP($I20,#REF!,_xlfn.XLOOKUP(AM$10,#REF!,#REF!,"",0,1),""),"")</f>
        <v/>
      </c>
      <c r="AN20" s="11" t="str" cm="1">
        <f t="array" ref="AN20">IFERROR(_xlfn.XLOOKUP($I20,#REF!,_xlfn.XLOOKUP(AN$10,#REF!,#REF!,"",0,1),""),"")</f>
        <v/>
      </c>
      <c r="AO20" s="11" t="str" cm="1">
        <f t="array" ref="AO20">IFERROR(_xlfn.XLOOKUP($I20,#REF!,_xlfn.XLOOKUP(AO$10,#REF!,#REF!,"",0,1),""),"")</f>
        <v/>
      </c>
      <c r="AP20" s="11" t="str" cm="1">
        <f t="array" ref="AP20">IFERROR(_xlfn.XLOOKUP($I20,#REF!,_xlfn.XLOOKUP(AP$10,#REF!,#REF!,"",0,1),""),"")</f>
        <v/>
      </c>
      <c r="AQ20" s="11" t="str" cm="1">
        <f t="array" ref="AQ20">IFERROR(_xlfn.XLOOKUP($I20,#REF!,_xlfn.XLOOKUP(AQ$10,#REF!,#REF!,"",0,1),""),"")</f>
        <v/>
      </c>
      <c r="AR20" s="12" t="str" cm="1">
        <f t="array" ref="AR20">IFERROR(_xlfn.XLOOKUP($I20,#REF!,_xlfn.XLOOKUP(AR$10,#REF!,#REF!,"",0,1),""),"")</f>
        <v/>
      </c>
      <c r="AS20" s="12" t="str" cm="1">
        <f t="array" ref="AS20">IFERROR(_xlfn.XLOOKUP($I20,#REF!,_xlfn.XLOOKUP(AS$10,#REF!,#REF!,"",0,1),""),"")</f>
        <v/>
      </c>
      <c r="AT20" s="12" t="str" cm="1">
        <f t="array" ref="AT20">IFERROR(_xlfn.XLOOKUP($I20,#REF!,_xlfn.XLOOKUP(AT$10,#REF!,#REF!,"",0,1),""),"")</f>
        <v/>
      </c>
      <c r="AU20" s="12" t="str" cm="1">
        <f t="array" ref="AU20">IFERROR(_xlfn.XLOOKUP($I20,#REF!,_xlfn.XLOOKUP(AU$10,#REF!,#REF!,"",0,1),""),"")</f>
        <v/>
      </c>
      <c r="AV20" s="12" t="str" cm="1">
        <f t="array" ref="AV20">IFERROR(_xlfn.XLOOKUP($I20,#REF!,_xlfn.XLOOKUP(AV$10,#REF!,#REF!,"",0,1),""),"")</f>
        <v/>
      </c>
      <c r="AW20" s="12" t="str">
        <f>IFERROR(_xlfn.XLOOKUP($I20,#REF!,#REF!,""),"")</f>
        <v/>
      </c>
      <c r="AX20" s="12" t="str">
        <f>IFERROR(_xlfn.XLOOKUP($I20,#REF!,#REF!,""),"")</f>
        <v/>
      </c>
      <c r="AY20" s="12" t="str">
        <f>IFERROR(_xlfn.XLOOKUP($I20,#REF!,#REF!,""),"")</f>
        <v/>
      </c>
      <c r="AZ20" s="11" t="str" cm="1">
        <f t="array" ref="AZ20">IFERROR(_xlfn.XLOOKUP($I20,#REF!,_xlfn.XLOOKUP(AZ$10,#REF!,#REF!,"",0,1),""),"")</f>
        <v/>
      </c>
      <c r="BA20" s="11" t="str" cm="1">
        <f t="array" ref="BA20">IFERROR(_xlfn.XLOOKUP($I20,#REF!,_xlfn.XLOOKUP(BA$10,#REF!,#REF!,"",0,1),""),"")</f>
        <v/>
      </c>
      <c r="BB20" s="11" t="str">
        <f>IFERROR(_xlfn.XLOOKUP($I20,#REF!,#REF!,""),"")</f>
        <v/>
      </c>
      <c r="BC20" s="11" t="str">
        <f>IFERROR(_xlfn.XLOOKUP($I20,#REF!,#REF!,""),"")</f>
        <v/>
      </c>
      <c r="BD20" s="12" t="str" cm="1">
        <f t="array" ref="BD20">IFERROR(_xlfn.XLOOKUP($I20,#REF!,_xlfn.XLOOKUP(BD$10,#REF!,#REF!,"",0,1),""),"")</f>
        <v/>
      </c>
      <c r="BE20" s="12" t="str" cm="1">
        <f t="array" ref="BE20">IFERROR(_xlfn.XLOOKUP($I20,#REF!,_xlfn.XLOOKUP(BE$10,#REF!,#REF!,"",0,1),""),"")</f>
        <v/>
      </c>
      <c r="BF20" s="12" t="str" cm="1">
        <f t="array" ref="BF20">IFERROR(_xlfn.XLOOKUP($I20,#REF!,_xlfn.XLOOKUP(BF$10,#REF!,#REF!,"",0,1),""),"")</f>
        <v/>
      </c>
      <c r="BG20" s="12" t="str" cm="1">
        <f t="array" ref="BG20">IFERROR(_xlfn.XLOOKUP($I20,#REF!,_xlfn.XLOOKUP(BG$10,#REF!,#REF!,"",0,1),""),"")</f>
        <v/>
      </c>
      <c r="BH20" s="12" t="str" cm="1">
        <f t="array" ref="BH20">IFERROR(_xlfn.XLOOKUP($I20,#REF!,_xlfn.XLOOKUP(BH$10,#REF!,#REF!,"",0,1),""),"")</f>
        <v/>
      </c>
      <c r="BI20" s="12" t="str" cm="1">
        <f t="array" ref="BI20">IFERROR(_xlfn.XLOOKUP($I20,#REF!,_xlfn.XLOOKUP(BI$10,#REF!,#REF!,"",0,1),""),"")</f>
        <v/>
      </c>
      <c r="BJ20" s="12" t="str" cm="1">
        <f t="array" ref="BJ20">IFERROR(_xlfn.XLOOKUP($I20,#REF!,_xlfn.XLOOKUP(BJ$10,#REF!,#REF!,"",0,1),""),"")</f>
        <v/>
      </c>
      <c r="BK20" s="12" t="str" cm="1">
        <f t="array" ref="BK20">IFERROR(_xlfn.XLOOKUP($I20,#REF!,_xlfn.XLOOKUP(BK$10,#REF!,#REF!,"",0,1),""),"")</f>
        <v/>
      </c>
      <c r="BL20" s="12" t="str" cm="1">
        <f t="array" ref="BL20">IFERROR(_xlfn.XLOOKUP($I20,#REF!,_xlfn.XLOOKUP(BL$10,#REF!,#REF!,"",0,1),""),"")</f>
        <v/>
      </c>
      <c r="BM20" s="12" t="str">
        <f>IFERROR(_xlfn.XLOOKUP($I20,#REF!,#REF!,""),"")</f>
        <v/>
      </c>
      <c r="BN20" s="12" t="str">
        <f>IFERROR(_xlfn.XLOOKUP($I20,#REF!,#REF!,""),"")</f>
        <v/>
      </c>
      <c r="BO20" s="12" t="str">
        <f>IFERROR(_xlfn.XLOOKUP($I20,#REF!,#REF!,""),"")</f>
        <v/>
      </c>
      <c r="BP20" s="12" t="str" cm="1">
        <f t="array" ref="BP20">IFERROR(_xlfn.XLOOKUP($I20,#REF!,_xlfn.XLOOKUP(BP$10,#REF!,#REF!,"",0,1),""),"")</f>
        <v/>
      </c>
      <c r="BQ20" s="12" t="str">
        <f>IFERROR(_xlfn.XLOOKUP($I20,#REF!,#REF!,""),"")</f>
        <v/>
      </c>
      <c r="BR20" s="12" t="str">
        <f>IFERROR(_xlfn.XLOOKUP($I20,#REF!,#REF!,""),"")</f>
        <v/>
      </c>
      <c r="BS20" s="12" t="str">
        <f>IFERROR(_xlfn.XLOOKUP($I20,#REF!,#REF!,""),"")</f>
        <v/>
      </c>
      <c r="BT20" s="11" t="str">
        <f>IFERROR(_xlfn.XLOOKUP($I20,#REF!,#REF!,""),"")</f>
        <v/>
      </c>
      <c r="BU20" s="11" t="str">
        <f>IFERROR(_xlfn.XLOOKUP($I20,#REF!,#REF!,""),"")</f>
        <v/>
      </c>
      <c r="BV20" s="32" t="str">
        <f>IFERROR(_xlfn.XLOOKUP($I20,#REF!,#REF!,""),"")</f>
        <v/>
      </c>
      <c r="BW20" s="12" t="str">
        <f>IFERROR(_xlfn.XLOOKUP($I20,#REF!,#REF!,""),"")</f>
        <v/>
      </c>
    </row>
    <row r="21" spans="3:75" ht="52.35" customHeight="1" x14ac:dyDescent="0.3">
      <c r="C21" s="22" t="str">
        <f>IFERROR(_xlfn.XLOOKUP($I21,#REF!,#REF!,""),"")</f>
        <v/>
      </c>
      <c r="D21" s="19" t="str">
        <f>IFERROR(_xlfn.XLOOKUP($I21,#REF!,#REF!,""),"")</f>
        <v/>
      </c>
      <c r="E21" s="23" t="str">
        <f>IFERROR(_xlfn.XLOOKUP($I21,#REF!,#REF!,""),"")</f>
        <v/>
      </c>
      <c r="F21" s="19" t="str">
        <f>IFERROR(_xlfn.XLOOKUP($I21,#REF!,#REF!,""),"")</f>
        <v/>
      </c>
      <c r="G21" s="19" t="str">
        <f>IFERROR(_xlfn.XLOOKUP($I21,#REF!,#REF!,""),"")</f>
        <v/>
      </c>
      <c r="H21" s="19" t="str">
        <f>IFERROR(_xlfn.XLOOKUP($I21,#REF!,#REF!,""),"")</f>
        <v/>
      </c>
      <c r="I21" s="77">
        <v>102473</v>
      </c>
      <c r="J21" s="12" t="str" cm="1">
        <f t="array" ref="J21">IFERROR(_xlfn.XLOOKUP($I21,#REF!,_xlfn.XLOOKUP(J$10,#REF!,#REF!,"",0,1),""),"")</f>
        <v/>
      </c>
      <c r="K21" s="12" t="str" cm="1">
        <f t="array" ref="K21">IFERROR(_xlfn.XLOOKUP($I21,#REF!,_xlfn.XLOOKUP(K$10,#REF!,#REF!,"",0,1),""),"")</f>
        <v/>
      </c>
      <c r="L21" s="12" t="str" cm="1">
        <f t="array" ref="L21">IFERROR(_xlfn.XLOOKUP($I21,#REF!,_xlfn.XLOOKUP(L$10,#REF!,#REF!,"",0,1),""),"")</f>
        <v/>
      </c>
      <c r="M21" s="36" t="str" cm="1">
        <f t="array" ref="M21">IFERROR(_xlfn.XLOOKUP($I21,#REF!,_xlfn.XLOOKUP(M$10,#REF!,#REF!,"",0,1),""),"")</f>
        <v/>
      </c>
      <c r="N21" s="37" t="str" cm="1">
        <f t="array" ref="N21">IFERROR(_xlfn.XLOOKUP($I21,#REF!,_xlfn.XLOOKUP(N$10,#REF!,#REF!,"",0,1),""),"")</f>
        <v/>
      </c>
      <c r="O21" s="12" t="str" cm="1">
        <f t="array" ref="O21">IFERROR(_xlfn.XLOOKUP($I21,#REF!,_xlfn.XLOOKUP(O$10,#REF!,#REF!,"",0,1),""),"")</f>
        <v/>
      </c>
      <c r="P21" s="12" t="str" cm="1">
        <f t="array" ref="P21">IFERROR(_xlfn.XLOOKUP($I21,#REF!,_xlfn.XLOOKUP(P$10,#REF!,#REF!,"",0,1),""),"")</f>
        <v/>
      </c>
      <c r="Q21" s="12" t="str" cm="1">
        <f t="array" ref="Q21">IFERROR(_xlfn.XLOOKUP($I21,#REF!,_xlfn.XLOOKUP(Q$10,#REF!,#REF!,"",0,1),""),"")</f>
        <v/>
      </c>
      <c r="R21" s="12" t="str" cm="1">
        <f t="array" ref="R21">IFERROR(_xlfn.XLOOKUP($I21,#REF!,_xlfn.XLOOKUP(R$10,#REF!,#REF!,"",0,1),""),"")</f>
        <v/>
      </c>
      <c r="S21" s="12" t="str">
        <f>IFERROR(_xlfn.XLOOKUP($I21,#REF!,#REF!,""),"")</f>
        <v/>
      </c>
      <c r="T21" s="12" t="str">
        <f>IFERROR(_xlfn.XLOOKUP($I21,#REF!,#REF!,""),"")</f>
        <v/>
      </c>
      <c r="U21" s="12" t="str">
        <f>IFERROR(_xlfn.XLOOKUP($I21,#REF!,#REF!,""),"")</f>
        <v/>
      </c>
      <c r="V21" s="12" t="str">
        <f>IFERROR(_xlfn.XLOOKUP($I21,#REF!,#REF!,""),"")</f>
        <v/>
      </c>
      <c r="W21" s="74" t="str" cm="1">
        <f t="array" ref="W21">IFERROR(_xlfn.XLOOKUP($I21,#REF!,_xlfn.XLOOKUP(W$10,#REF!,#REF!,"",0,1),""),"")</f>
        <v/>
      </c>
      <c r="X21" s="74" t="str" cm="1">
        <f t="array" ref="X21">IFERROR(_xlfn.XLOOKUP($I21,#REF!,_xlfn.XLOOKUP(X$10,#REF!,#REF!,"",0,1),""),"")</f>
        <v/>
      </c>
      <c r="Y21" s="74" t="str" cm="1">
        <f t="array" ref="Y21">IFERROR(_xlfn.XLOOKUP($I21,#REF!,_xlfn.XLOOKUP(Y$10,#REF!,#REF!,"",0,1),""),"")</f>
        <v/>
      </c>
      <c r="Z21" s="74" t="str" cm="1">
        <f t="array" ref="Z21">IFERROR(_xlfn.XLOOKUP($I21,#REF!,_xlfn.XLOOKUP(Z$10,#REF!,#REF!,"",0,1),""),"")</f>
        <v/>
      </c>
      <c r="AA21" s="74" t="str" cm="1">
        <f t="array" ref="AA21">IFERROR(_xlfn.XLOOKUP($I21,#REF!,_xlfn.XLOOKUP(AA$10,#REF!,#REF!,"",0,1),""),"")</f>
        <v/>
      </c>
      <c r="AB21" s="12" t="str" cm="1">
        <f t="array" ref="AB21">IFERROR(_xlfn.XLOOKUP($I21,#REF!,_xlfn.XLOOKUP(AB$10,#REF!,#REF!,"",0,1),""),"")</f>
        <v/>
      </c>
      <c r="AC21" s="52" t="str" cm="1">
        <f t="array" ref="AC21">IFERROR(_xlfn.XLOOKUP($I21,#REF!,_xlfn.XLOOKUP(AC$10,#REF!,#REF!,"",0,1),""),"")</f>
        <v/>
      </c>
      <c r="AD21" s="12" t="str" cm="1">
        <f t="array" ref="AD21">IFERROR(_xlfn.XLOOKUP($I21,#REF!,_xlfn.XLOOKUP(AD$10,#REF!,#REF!,"",0,1),""),"")</f>
        <v/>
      </c>
      <c r="AE21" s="12"/>
      <c r="AF21" s="12" t="str" cm="1">
        <f t="array" ref="AF21">IFERROR(_xlfn.XLOOKUP($I21,#REF!,_xlfn.XLOOKUP(AF$10,#REF!,#REF!,"",0,1),""),"")</f>
        <v/>
      </c>
      <c r="AG21" s="12" t="str" cm="1">
        <f t="array" ref="AG21">IFERROR(_xlfn.XLOOKUP($I21,#REF!,_xlfn.XLOOKUP(AG$10,#REF!,#REF!,"",0,1),""),"")</f>
        <v/>
      </c>
      <c r="AH21" s="12" t="str" cm="1">
        <f t="array" ref="AH21">IFERROR(_xlfn.XLOOKUP($I21,#REF!,_xlfn.XLOOKUP(AH$10,#REF!,#REF!,"",0,1),""),"")</f>
        <v/>
      </c>
      <c r="AI21" s="12" t="str" cm="1">
        <f t="array" ref="AI21">IFERROR(_xlfn.XLOOKUP($I21,#REF!,_xlfn.XLOOKUP(AI$10,#REF!,#REF!,"",0,1),""),"")</f>
        <v/>
      </c>
      <c r="AJ21" s="12"/>
      <c r="AK21" s="12"/>
      <c r="AL21" s="11" t="str" cm="1">
        <f t="array" ref="AL21">IFERROR(_xlfn.XLOOKUP($I21,#REF!,_xlfn.XLOOKUP(AL$10,#REF!,#REF!,"",0,1),""),"")</f>
        <v/>
      </c>
      <c r="AM21" s="11" t="str" cm="1">
        <f t="array" ref="AM21">IFERROR(_xlfn.XLOOKUP($I21,#REF!,_xlfn.XLOOKUP(AM$10,#REF!,#REF!,"",0,1),""),"")</f>
        <v/>
      </c>
      <c r="AN21" s="11" t="str" cm="1">
        <f t="array" ref="AN21">IFERROR(_xlfn.XLOOKUP($I21,#REF!,_xlfn.XLOOKUP(AN$10,#REF!,#REF!,"",0,1),""),"")</f>
        <v/>
      </c>
      <c r="AO21" s="11" t="str" cm="1">
        <f t="array" ref="AO21">IFERROR(_xlfn.XLOOKUP($I21,#REF!,_xlfn.XLOOKUP(AO$10,#REF!,#REF!,"",0,1),""),"")</f>
        <v/>
      </c>
      <c r="AP21" s="11" t="str" cm="1">
        <f t="array" ref="AP21">IFERROR(_xlfn.XLOOKUP($I21,#REF!,_xlfn.XLOOKUP(AP$10,#REF!,#REF!,"",0,1),""),"")</f>
        <v/>
      </c>
      <c r="AQ21" s="11" t="str" cm="1">
        <f t="array" ref="AQ21">IFERROR(_xlfn.XLOOKUP($I21,#REF!,_xlfn.XLOOKUP(AQ$10,#REF!,#REF!,"",0,1),""),"")</f>
        <v/>
      </c>
      <c r="AR21" s="12" t="str" cm="1">
        <f t="array" ref="AR21">IFERROR(_xlfn.XLOOKUP($I21,#REF!,_xlfn.XLOOKUP(AR$10,#REF!,#REF!,"",0,1),""),"")</f>
        <v/>
      </c>
      <c r="AS21" s="12" t="str" cm="1">
        <f t="array" ref="AS21">IFERROR(_xlfn.XLOOKUP($I21,#REF!,_xlfn.XLOOKUP(AS$10,#REF!,#REF!,"",0,1),""),"")</f>
        <v/>
      </c>
      <c r="AT21" s="12" t="str" cm="1">
        <f t="array" ref="AT21">IFERROR(_xlfn.XLOOKUP($I21,#REF!,_xlfn.XLOOKUP(AT$10,#REF!,#REF!,"",0,1),""),"")</f>
        <v/>
      </c>
      <c r="AU21" s="12" t="str" cm="1">
        <f t="array" ref="AU21">IFERROR(_xlfn.XLOOKUP($I21,#REF!,_xlfn.XLOOKUP(AU$10,#REF!,#REF!,"",0,1),""),"")</f>
        <v/>
      </c>
      <c r="AV21" s="12" t="str" cm="1">
        <f t="array" ref="AV21">IFERROR(_xlfn.XLOOKUP($I21,#REF!,_xlfn.XLOOKUP(AV$10,#REF!,#REF!,"",0,1),""),"")</f>
        <v/>
      </c>
      <c r="AW21" s="12" t="str">
        <f>IFERROR(_xlfn.XLOOKUP($I21,#REF!,#REF!,""),"")</f>
        <v/>
      </c>
      <c r="AX21" s="12" t="str">
        <f>IFERROR(_xlfn.XLOOKUP($I21,#REF!,#REF!,""),"")</f>
        <v/>
      </c>
      <c r="AY21" s="12" t="str">
        <f>IFERROR(_xlfn.XLOOKUP($I21,#REF!,#REF!,""),"")</f>
        <v/>
      </c>
      <c r="AZ21" s="11" t="str" cm="1">
        <f t="array" ref="AZ21">IFERROR(_xlfn.XLOOKUP($I21,#REF!,_xlfn.XLOOKUP(AZ$10,#REF!,#REF!,"",0,1),""),"")</f>
        <v/>
      </c>
      <c r="BA21" s="11" t="str" cm="1">
        <f t="array" ref="BA21">IFERROR(_xlfn.XLOOKUP($I21,#REF!,_xlfn.XLOOKUP(BA$10,#REF!,#REF!,"",0,1),""),"")</f>
        <v/>
      </c>
      <c r="BB21" s="11" t="str">
        <f>IFERROR(_xlfn.XLOOKUP($I21,#REF!,#REF!,""),"")</f>
        <v/>
      </c>
      <c r="BC21" s="11" t="str">
        <f>IFERROR(_xlfn.XLOOKUP($I21,#REF!,#REF!,""),"")</f>
        <v/>
      </c>
      <c r="BD21" s="12" t="str" cm="1">
        <f t="array" ref="BD21">IFERROR(_xlfn.XLOOKUP($I21,#REF!,_xlfn.XLOOKUP(BD$10,#REF!,#REF!,"",0,1),""),"")</f>
        <v/>
      </c>
      <c r="BE21" s="12" t="str" cm="1">
        <f t="array" ref="BE21">IFERROR(_xlfn.XLOOKUP($I21,#REF!,_xlfn.XLOOKUP(BE$10,#REF!,#REF!,"",0,1),""),"")</f>
        <v/>
      </c>
      <c r="BF21" s="12" t="str" cm="1">
        <f t="array" ref="BF21">IFERROR(_xlfn.XLOOKUP($I21,#REF!,_xlfn.XLOOKUP(BF$10,#REF!,#REF!,"",0,1),""),"")</f>
        <v/>
      </c>
      <c r="BG21" s="12" t="str" cm="1">
        <f t="array" ref="BG21">IFERROR(_xlfn.XLOOKUP($I21,#REF!,_xlfn.XLOOKUP(BG$10,#REF!,#REF!,"",0,1),""),"")</f>
        <v/>
      </c>
      <c r="BH21" s="12" t="str" cm="1">
        <f t="array" ref="BH21">IFERROR(_xlfn.XLOOKUP($I21,#REF!,_xlfn.XLOOKUP(BH$10,#REF!,#REF!,"",0,1),""),"")</f>
        <v/>
      </c>
      <c r="BI21" s="12" t="str" cm="1">
        <f t="array" ref="BI21">IFERROR(_xlfn.XLOOKUP($I21,#REF!,_xlfn.XLOOKUP(BI$10,#REF!,#REF!,"",0,1),""),"")</f>
        <v/>
      </c>
      <c r="BJ21" s="12" t="str" cm="1">
        <f t="array" ref="BJ21">IFERROR(_xlfn.XLOOKUP($I21,#REF!,_xlfn.XLOOKUP(BJ$10,#REF!,#REF!,"",0,1),""),"")</f>
        <v/>
      </c>
      <c r="BK21" s="12" t="str" cm="1">
        <f t="array" ref="BK21">IFERROR(_xlfn.XLOOKUP($I21,#REF!,_xlfn.XLOOKUP(BK$10,#REF!,#REF!,"",0,1),""),"")</f>
        <v/>
      </c>
      <c r="BL21" s="12" t="str" cm="1">
        <f t="array" ref="BL21">IFERROR(_xlfn.XLOOKUP($I21,#REF!,_xlfn.XLOOKUP(BL$10,#REF!,#REF!,"",0,1),""),"")</f>
        <v/>
      </c>
      <c r="BM21" s="12" t="str">
        <f>IFERROR(_xlfn.XLOOKUP($I21,#REF!,#REF!,""),"")</f>
        <v/>
      </c>
      <c r="BN21" s="12" t="str">
        <f>IFERROR(_xlfn.XLOOKUP($I21,#REF!,#REF!,""),"")</f>
        <v/>
      </c>
      <c r="BO21" s="12" t="str">
        <f>IFERROR(_xlfn.XLOOKUP($I21,#REF!,#REF!,""),"")</f>
        <v/>
      </c>
      <c r="BP21" s="12" t="str" cm="1">
        <f t="array" ref="BP21">IFERROR(_xlfn.XLOOKUP($I21,#REF!,_xlfn.XLOOKUP(BP$10,#REF!,#REF!,"",0,1),""),"")</f>
        <v/>
      </c>
      <c r="BQ21" s="12" t="str">
        <f>IFERROR(_xlfn.XLOOKUP($I21,#REF!,#REF!,""),"")</f>
        <v/>
      </c>
      <c r="BR21" s="12" t="str">
        <f>IFERROR(_xlfn.XLOOKUP($I21,#REF!,#REF!,""),"")</f>
        <v/>
      </c>
      <c r="BS21" s="12" t="str">
        <f>IFERROR(_xlfn.XLOOKUP($I21,#REF!,#REF!,""),"")</f>
        <v/>
      </c>
      <c r="BT21" s="11" t="str">
        <f>IFERROR(_xlfn.XLOOKUP($I21,#REF!,#REF!,""),"")</f>
        <v/>
      </c>
      <c r="BU21" s="11" t="str">
        <f>IFERROR(_xlfn.XLOOKUP($I21,#REF!,#REF!,""),"")</f>
        <v/>
      </c>
      <c r="BV21" s="32" t="str">
        <f>IFERROR(_xlfn.XLOOKUP($I21,#REF!,#REF!,""),"")</f>
        <v/>
      </c>
      <c r="BW21" s="12" t="str">
        <f>IFERROR(_xlfn.XLOOKUP($I21,#REF!,#REF!,""),"")</f>
        <v/>
      </c>
    </row>
    <row r="22" spans="3:75" ht="52.35" customHeight="1" x14ac:dyDescent="0.3">
      <c r="C22" s="22" t="str">
        <f>IFERROR(_xlfn.XLOOKUP($I22,#REF!,#REF!,""),"")</f>
        <v/>
      </c>
      <c r="D22" s="19" t="str">
        <f>IFERROR(_xlfn.XLOOKUP($I22,#REF!,#REF!,""),"")</f>
        <v/>
      </c>
      <c r="E22" s="23" t="str">
        <f>IFERROR(_xlfn.XLOOKUP($I22,#REF!,#REF!,""),"")</f>
        <v/>
      </c>
      <c r="F22" s="19" t="str">
        <f>IFERROR(_xlfn.XLOOKUP($I22,#REF!,#REF!,""),"")</f>
        <v/>
      </c>
      <c r="G22" s="19" t="str">
        <f>IFERROR(_xlfn.XLOOKUP($I22,#REF!,#REF!,""),"")</f>
        <v/>
      </c>
      <c r="H22" s="19" t="str">
        <f>IFERROR(_xlfn.XLOOKUP($I22,#REF!,#REF!,""),"")</f>
        <v/>
      </c>
      <c r="I22" s="77">
        <v>101389</v>
      </c>
      <c r="J22" s="12" t="str" cm="1">
        <f t="array" ref="J22">IFERROR(_xlfn.XLOOKUP($I22,#REF!,_xlfn.XLOOKUP(J$10,#REF!,#REF!,"",0,1),""),"")</f>
        <v/>
      </c>
      <c r="K22" s="12" t="str" cm="1">
        <f t="array" ref="K22">IFERROR(_xlfn.XLOOKUP($I22,#REF!,_xlfn.XLOOKUP(K$10,#REF!,#REF!,"",0,1),""),"")</f>
        <v/>
      </c>
      <c r="L22" s="12" t="str" cm="1">
        <f t="array" ref="L22">IFERROR(_xlfn.XLOOKUP($I22,#REF!,_xlfn.XLOOKUP(L$10,#REF!,#REF!,"",0,1),""),"")</f>
        <v/>
      </c>
      <c r="M22" s="36" t="str" cm="1">
        <f t="array" ref="M22">IFERROR(_xlfn.XLOOKUP($I22,#REF!,_xlfn.XLOOKUP(M$10,#REF!,#REF!,"",0,1),""),"")</f>
        <v/>
      </c>
      <c r="N22" s="37" t="str" cm="1">
        <f t="array" ref="N22">IFERROR(_xlfn.XLOOKUP($I22,#REF!,_xlfn.XLOOKUP(N$10,#REF!,#REF!,"",0,1),""),"")</f>
        <v/>
      </c>
      <c r="O22" s="12" t="str" cm="1">
        <f t="array" ref="O22">IFERROR(_xlfn.XLOOKUP($I22,#REF!,_xlfn.XLOOKUP(O$10,#REF!,#REF!,"",0,1),""),"")</f>
        <v/>
      </c>
      <c r="P22" s="12" t="str" cm="1">
        <f t="array" ref="P22">IFERROR(_xlfn.XLOOKUP($I22,#REF!,_xlfn.XLOOKUP(P$10,#REF!,#REF!,"",0,1),""),"")</f>
        <v/>
      </c>
      <c r="Q22" s="12" t="str" cm="1">
        <f t="array" ref="Q22">IFERROR(_xlfn.XLOOKUP($I22,#REF!,_xlfn.XLOOKUP(Q$10,#REF!,#REF!,"",0,1),""),"")</f>
        <v/>
      </c>
      <c r="R22" s="12" t="str" cm="1">
        <f t="array" ref="R22">IFERROR(_xlfn.XLOOKUP($I22,#REF!,_xlfn.XLOOKUP(R$10,#REF!,#REF!,"",0,1),""),"")</f>
        <v/>
      </c>
      <c r="S22" s="12" t="str">
        <f>IFERROR(_xlfn.XLOOKUP($I22,#REF!,#REF!,""),"")</f>
        <v/>
      </c>
      <c r="T22" s="12" t="str">
        <f>IFERROR(_xlfn.XLOOKUP($I22,#REF!,#REF!,""),"")</f>
        <v/>
      </c>
      <c r="U22" s="12" t="str">
        <f>IFERROR(_xlfn.XLOOKUP($I22,#REF!,#REF!,""),"")</f>
        <v/>
      </c>
      <c r="V22" s="12" t="str">
        <f>IFERROR(_xlfn.XLOOKUP($I22,#REF!,#REF!,""),"")</f>
        <v/>
      </c>
      <c r="W22" s="74" t="str" cm="1">
        <f t="array" ref="W22">IFERROR(_xlfn.XLOOKUP($I22,#REF!,_xlfn.XLOOKUP(W$10,#REF!,#REF!,"",0,1),""),"")</f>
        <v/>
      </c>
      <c r="X22" s="74" t="str" cm="1">
        <f t="array" ref="X22">IFERROR(_xlfn.XLOOKUP($I22,#REF!,_xlfn.XLOOKUP(X$10,#REF!,#REF!,"",0,1),""),"")</f>
        <v/>
      </c>
      <c r="Y22" s="74" t="str" cm="1">
        <f t="array" ref="Y22">IFERROR(_xlfn.XLOOKUP($I22,#REF!,_xlfn.XLOOKUP(Y$10,#REF!,#REF!,"",0,1),""),"")</f>
        <v/>
      </c>
      <c r="Z22" s="74" t="str" cm="1">
        <f t="array" ref="Z22">IFERROR(_xlfn.XLOOKUP($I22,#REF!,_xlfn.XLOOKUP(Z$10,#REF!,#REF!,"",0,1),""),"")</f>
        <v/>
      </c>
      <c r="AA22" s="74" t="str" cm="1">
        <f t="array" ref="AA22">IFERROR(_xlfn.XLOOKUP($I22,#REF!,_xlfn.XLOOKUP(AA$10,#REF!,#REF!,"",0,1),""),"")</f>
        <v/>
      </c>
      <c r="AB22" s="12" t="str" cm="1">
        <f t="array" ref="AB22">IFERROR(_xlfn.XLOOKUP($I22,#REF!,_xlfn.XLOOKUP(AB$10,#REF!,#REF!,"",0,1),""),"")</f>
        <v/>
      </c>
      <c r="AC22" s="52" t="str" cm="1">
        <f t="array" ref="AC22">IFERROR(_xlfn.XLOOKUP($I22,#REF!,_xlfn.XLOOKUP(AC$10,#REF!,#REF!,"",0,1),""),"")</f>
        <v/>
      </c>
      <c r="AD22" s="12" t="str" cm="1">
        <f t="array" ref="AD22">IFERROR(_xlfn.XLOOKUP($I22,#REF!,_xlfn.XLOOKUP(AD$10,#REF!,#REF!,"",0,1),""),"")</f>
        <v/>
      </c>
      <c r="AE22" s="12"/>
      <c r="AF22" s="12" t="str" cm="1">
        <f t="array" ref="AF22">IFERROR(_xlfn.XLOOKUP($I22,#REF!,_xlfn.XLOOKUP(AF$10,#REF!,#REF!,"",0,1),""),"")</f>
        <v/>
      </c>
      <c r="AG22" s="12" t="str" cm="1">
        <f t="array" ref="AG22">IFERROR(_xlfn.XLOOKUP($I22,#REF!,_xlfn.XLOOKUP(AG$10,#REF!,#REF!,"",0,1),""),"")</f>
        <v/>
      </c>
      <c r="AH22" s="12" t="str" cm="1">
        <f t="array" ref="AH22">IFERROR(_xlfn.XLOOKUP($I22,#REF!,_xlfn.XLOOKUP(AH$10,#REF!,#REF!,"",0,1),""),"")</f>
        <v/>
      </c>
      <c r="AI22" s="12" t="str" cm="1">
        <f t="array" ref="AI22">IFERROR(_xlfn.XLOOKUP($I22,#REF!,_xlfn.XLOOKUP(AI$10,#REF!,#REF!,"",0,1),""),"")</f>
        <v/>
      </c>
      <c r="AJ22" s="12"/>
      <c r="AK22" s="12"/>
      <c r="AL22" s="11" t="str" cm="1">
        <f t="array" ref="AL22">IFERROR(_xlfn.XLOOKUP($I22,#REF!,_xlfn.XLOOKUP(AL$10,#REF!,#REF!,"",0,1),""),"")</f>
        <v/>
      </c>
      <c r="AM22" s="11" t="str" cm="1">
        <f t="array" ref="AM22">IFERROR(_xlfn.XLOOKUP($I22,#REF!,_xlfn.XLOOKUP(AM$10,#REF!,#REF!,"",0,1),""),"")</f>
        <v/>
      </c>
      <c r="AN22" s="11" t="str" cm="1">
        <f t="array" ref="AN22">IFERROR(_xlfn.XLOOKUP($I22,#REF!,_xlfn.XLOOKUP(AN$10,#REF!,#REF!,"",0,1),""),"")</f>
        <v/>
      </c>
      <c r="AO22" s="11" t="str" cm="1">
        <f t="array" ref="AO22">IFERROR(_xlfn.XLOOKUP($I22,#REF!,_xlfn.XLOOKUP(AO$10,#REF!,#REF!,"",0,1),""),"")</f>
        <v/>
      </c>
      <c r="AP22" s="11" t="str" cm="1">
        <f t="array" ref="AP22">IFERROR(_xlfn.XLOOKUP($I22,#REF!,_xlfn.XLOOKUP(AP$10,#REF!,#REF!,"",0,1),""),"")</f>
        <v/>
      </c>
      <c r="AQ22" s="11" t="str" cm="1">
        <f t="array" ref="AQ22">IFERROR(_xlfn.XLOOKUP($I22,#REF!,_xlfn.XLOOKUP(AQ$10,#REF!,#REF!,"",0,1),""),"")</f>
        <v/>
      </c>
      <c r="AR22" s="12" t="str" cm="1">
        <f t="array" ref="AR22">IFERROR(_xlfn.XLOOKUP($I22,#REF!,_xlfn.XLOOKUP(AR$10,#REF!,#REF!,"",0,1),""),"")</f>
        <v/>
      </c>
      <c r="AS22" s="12" t="str" cm="1">
        <f t="array" ref="AS22">IFERROR(_xlfn.XLOOKUP($I22,#REF!,_xlfn.XLOOKUP(AS$10,#REF!,#REF!,"",0,1),""),"")</f>
        <v/>
      </c>
      <c r="AT22" s="12" t="str" cm="1">
        <f t="array" ref="AT22">IFERROR(_xlfn.XLOOKUP($I22,#REF!,_xlfn.XLOOKUP(AT$10,#REF!,#REF!,"",0,1),""),"")</f>
        <v/>
      </c>
      <c r="AU22" s="12" t="str" cm="1">
        <f t="array" ref="AU22">IFERROR(_xlfn.XLOOKUP($I22,#REF!,_xlfn.XLOOKUP(AU$10,#REF!,#REF!,"",0,1),""),"")</f>
        <v/>
      </c>
      <c r="AV22" s="12" t="str" cm="1">
        <f t="array" ref="AV22">IFERROR(_xlfn.XLOOKUP($I22,#REF!,_xlfn.XLOOKUP(AV$10,#REF!,#REF!,"",0,1),""),"")</f>
        <v/>
      </c>
      <c r="AW22" s="12" t="str">
        <f>IFERROR(_xlfn.XLOOKUP($I22,#REF!,#REF!,""),"")</f>
        <v/>
      </c>
      <c r="AX22" s="12" t="str">
        <f>IFERROR(_xlfn.XLOOKUP($I22,#REF!,#REF!,""),"")</f>
        <v/>
      </c>
      <c r="AY22" s="12" t="str">
        <f>IFERROR(_xlfn.XLOOKUP($I22,#REF!,#REF!,""),"")</f>
        <v/>
      </c>
      <c r="AZ22" s="11" t="str" cm="1">
        <f t="array" ref="AZ22">IFERROR(_xlfn.XLOOKUP($I22,#REF!,_xlfn.XLOOKUP(AZ$10,#REF!,#REF!,"",0,1),""),"")</f>
        <v/>
      </c>
      <c r="BA22" s="11" t="str" cm="1">
        <f t="array" ref="BA22">IFERROR(_xlfn.XLOOKUP($I22,#REF!,_xlfn.XLOOKUP(BA$10,#REF!,#REF!,"",0,1),""),"")</f>
        <v/>
      </c>
      <c r="BB22" s="11" t="str">
        <f>IFERROR(_xlfn.XLOOKUP($I22,#REF!,#REF!,""),"")</f>
        <v/>
      </c>
      <c r="BC22" s="11" t="str">
        <f>IFERROR(_xlfn.XLOOKUP($I22,#REF!,#REF!,""),"")</f>
        <v/>
      </c>
      <c r="BD22" s="12" t="str" cm="1">
        <f t="array" ref="BD22">IFERROR(_xlfn.XLOOKUP($I22,#REF!,_xlfn.XLOOKUP(BD$10,#REF!,#REF!,"",0,1),""),"")</f>
        <v/>
      </c>
      <c r="BE22" s="12" t="str" cm="1">
        <f t="array" ref="BE22">IFERROR(_xlfn.XLOOKUP($I22,#REF!,_xlfn.XLOOKUP(BE$10,#REF!,#REF!,"",0,1),""),"")</f>
        <v/>
      </c>
      <c r="BF22" s="12" t="str" cm="1">
        <f t="array" ref="BF22">IFERROR(_xlfn.XLOOKUP($I22,#REF!,_xlfn.XLOOKUP(BF$10,#REF!,#REF!,"",0,1),""),"")</f>
        <v/>
      </c>
      <c r="BG22" s="12" t="str" cm="1">
        <f t="array" ref="BG22">IFERROR(_xlfn.XLOOKUP($I22,#REF!,_xlfn.XLOOKUP(BG$10,#REF!,#REF!,"",0,1),""),"")</f>
        <v/>
      </c>
      <c r="BH22" s="12" t="str" cm="1">
        <f t="array" ref="BH22">IFERROR(_xlfn.XLOOKUP($I22,#REF!,_xlfn.XLOOKUP(BH$10,#REF!,#REF!,"",0,1),""),"")</f>
        <v/>
      </c>
      <c r="BI22" s="12" t="str" cm="1">
        <f t="array" ref="BI22">IFERROR(_xlfn.XLOOKUP($I22,#REF!,_xlfn.XLOOKUP(BI$10,#REF!,#REF!,"",0,1),""),"")</f>
        <v/>
      </c>
      <c r="BJ22" s="12" t="str" cm="1">
        <f t="array" ref="BJ22">IFERROR(_xlfn.XLOOKUP($I22,#REF!,_xlfn.XLOOKUP(BJ$10,#REF!,#REF!,"",0,1),""),"")</f>
        <v/>
      </c>
      <c r="BK22" s="12" t="str" cm="1">
        <f t="array" ref="BK22">IFERROR(_xlfn.XLOOKUP($I22,#REF!,_xlfn.XLOOKUP(BK$10,#REF!,#REF!,"",0,1),""),"")</f>
        <v/>
      </c>
      <c r="BL22" s="12" t="str" cm="1">
        <f t="array" ref="BL22">IFERROR(_xlfn.XLOOKUP($I22,#REF!,_xlfn.XLOOKUP(BL$10,#REF!,#REF!,"",0,1),""),"")</f>
        <v/>
      </c>
      <c r="BM22" s="12" t="str">
        <f>IFERROR(_xlfn.XLOOKUP($I22,#REF!,#REF!,""),"")</f>
        <v/>
      </c>
      <c r="BN22" s="12" t="str">
        <f>IFERROR(_xlfn.XLOOKUP($I22,#REF!,#REF!,""),"")</f>
        <v/>
      </c>
      <c r="BO22" s="12" t="str">
        <f>IFERROR(_xlfn.XLOOKUP($I22,#REF!,#REF!,""),"")</f>
        <v/>
      </c>
      <c r="BP22" s="12" t="str" cm="1">
        <f t="array" ref="BP22">IFERROR(_xlfn.XLOOKUP($I22,#REF!,_xlfn.XLOOKUP(BP$10,#REF!,#REF!,"",0,1),""),"")</f>
        <v/>
      </c>
      <c r="BQ22" s="12" t="str">
        <f>IFERROR(_xlfn.XLOOKUP($I22,#REF!,#REF!,""),"")</f>
        <v/>
      </c>
      <c r="BR22" s="12" t="str">
        <f>IFERROR(_xlfn.XLOOKUP($I22,#REF!,#REF!,""),"")</f>
        <v/>
      </c>
      <c r="BS22" s="12" t="str">
        <f>IFERROR(_xlfn.XLOOKUP($I22,#REF!,#REF!,""),"")</f>
        <v/>
      </c>
      <c r="BT22" s="11" t="str">
        <f>IFERROR(_xlfn.XLOOKUP($I22,#REF!,#REF!,""),"")</f>
        <v/>
      </c>
      <c r="BU22" s="11" t="str">
        <f>IFERROR(_xlfn.XLOOKUP($I22,#REF!,#REF!,""),"")</f>
        <v/>
      </c>
      <c r="BV22" s="32" t="str">
        <f>IFERROR(_xlfn.XLOOKUP($I22,#REF!,#REF!,""),"")</f>
        <v/>
      </c>
      <c r="BW22" s="12" t="str">
        <f>IFERROR(_xlfn.XLOOKUP($I22,#REF!,#REF!,""),"")</f>
        <v/>
      </c>
    </row>
    <row r="23" spans="3:75" ht="87" customHeight="1" x14ac:dyDescent="0.3">
      <c r="C23" s="22" t="str">
        <f>IFERROR(_xlfn.XLOOKUP($I23,#REF!,#REF!,""),"")</f>
        <v/>
      </c>
      <c r="D23" s="19" t="str">
        <f>IFERROR(_xlfn.XLOOKUP($I23,#REF!,#REF!,""),"")</f>
        <v/>
      </c>
      <c r="E23" s="23" t="str">
        <f>IFERROR(_xlfn.XLOOKUP($I23,#REF!,#REF!,""),"")</f>
        <v/>
      </c>
      <c r="F23" s="19" t="str">
        <f>IFERROR(_xlfn.XLOOKUP($I23,#REF!,#REF!,""),"")</f>
        <v/>
      </c>
      <c r="G23" s="19" t="str">
        <f>IFERROR(_xlfn.XLOOKUP($I23,#REF!,#REF!,""),"")</f>
        <v/>
      </c>
      <c r="H23" s="19" t="str">
        <f>IFERROR(_xlfn.XLOOKUP($I23,#REF!,#REF!,""),"")</f>
        <v/>
      </c>
      <c r="I23" s="77">
        <v>4078</v>
      </c>
      <c r="J23" s="12" t="str" cm="1">
        <f t="array" ref="J23">IFERROR(_xlfn.XLOOKUP($I23,#REF!,_xlfn.XLOOKUP(J$10,#REF!,#REF!,"",0,1),""),"")</f>
        <v/>
      </c>
      <c r="K23" s="12" t="str" cm="1">
        <f t="array" ref="K23">IFERROR(_xlfn.XLOOKUP($I23,#REF!,_xlfn.XLOOKUP(K$10,#REF!,#REF!,"",0,1),""),"")</f>
        <v/>
      </c>
      <c r="L23" s="12" t="str" cm="1">
        <f t="array" ref="L23">IFERROR(_xlfn.XLOOKUP($I23,#REF!,_xlfn.XLOOKUP(L$10,#REF!,#REF!,"",0,1),""),"")</f>
        <v/>
      </c>
      <c r="M23" s="36" t="str" cm="1">
        <f t="array" ref="M23">IFERROR(_xlfn.XLOOKUP($I23,#REF!,_xlfn.XLOOKUP(M$10,#REF!,#REF!,"",0,1),""),"")</f>
        <v/>
      </c>
      <c r="N23" s="37" t="str" cm="1">
        <f t="array" ref="N23">IFERROR(_xlfn.XLOOKUP($I23,#REF!,_xlfn.XLOOKUP(N$10,#REF!,#REF!,"",0,1),""),"")</f>
        <v/>
      </c>
      <c r="O23" s="12" t="str" cm="1">
        <f t="array" ref="O23">IFERROR(_xlfn.XLOOKUP($I23,#REF!,_xlfn.XLOOKUP(O$10,#REF!,#REF!,"",0,1),""),"")</f>
        <v/>
      </c>
      <c r="P23" s="12" t="str" cm="1">
        <f t="array" ref="P23">IFERROR(_xlfn.XLOOKUP($I23,#REF!,_xlfn.XLOOKUP(P$10,#REF!,#REF!,"",0,1),""),"")</f>
        <v/>
      </c>
      <c r="Q23" s="12" t="str" cm="1">
        <f t="array" ref="Q23">IFERROR(_xlfn.XLOOKUP($I23,#REF!,_xlfn.XLOOKUP(Q$10,#REF!,#REF!,"",0,1),""),"")</f>
        <v/>
      </c>
      <c r="R23" s="12" t="str" cm="1">
        <f t="array" ref="R23">IFERROR(_xlfn.XLOOKUP($I23,#REF!,_xlfn.XLOOKUP(R$10,#REF!,#REF!,"",0,1),""),"")</f>
        <v/>
      </c>
      <c r="S23" s="12" t="str">
        <f>IFERROR(_xlfn.XLOOKUP($I23,#REF!,#REF!,""),"")</f>
        <v/>
      </c>
      <c r="T23" s="12" t="str">
        <f>IFERROR(_xlfn.XLOOKUP($I23,#REF!,#REF!,""),"")</f>
        <v/>
      </c>
      <c r="U23" s="12" t="str">
        <f>IFERROR(_xlfn.XLOOKUP($I23,#REF!,#REF!,""),"")</f>
        <v/>
      </c>
      <c r="V23" s="12" t="str">
        <f>IFERROR(_xlfn.XLOOKUP($I23,#REF!,#REF!,""),"")</f>
        <v/>
      </c>
      <c r="W23" s="74" t="str" cm="1">
        <f t="array" ref="W23">IFERROR(_xlfn.XLOOKUP($I23,#REF!,_xlfn.XLOOKUP(W$10,#REF!,#REF!,"",0,1),""),"")</f>
        <v/>
      </c>
      <c r="X23" s="74" t="str" cm="1">
        <f t="array" ref="X23">IFERROR(_xlfn.XLOOKUP($I23,#REF!,_xlfn.XLOOKUP(X$10,#REF!,#REF!,"",0,1),""),"")</f>
        <v/>
      </c>
      <c r="Y23" s="74" t="str" cm="1">
        <f t="array" ref="Y23">IFERROR(_xlfn.XLOOKUP($I23,#REF!,_xlfn.XLOOKUP(Y$10,#REF!,#REF!,"",0,1),""),"")</f>
        <v/>
      </c>
      <c r="Z23" s="74" t="str" cm="1">
        <f t="array" ref="Z23">IFERROR(_xlfn.XLOOKUP($I23,#REF!,_xlfn.XLOOKUP(Z$10,#REF!,#REF!,"",0,1),""),"")</f>
        <v/>
      </c>
      <c r="AA23" s="74" t="str" cm="1">
        <f t="array" ref="AA23">IFERROR(_xlfn.XLOOKUP($I23,#REF!,_xlfn.XLOOKUP(AA$10,#REF!,#REF!,"",0,1),""),"")</f>
        <v/>
      </c>
      <c r="AB23" s="12" t="str" cm="1">
        <f t="array" ref="AB23">IFERROR(_xlfn.XLOOKUP($I23,#REF!,_xlfn.XLOOKUP(AB$10,#REF!,#REF!,"",0,1),""),"")</f>
        <v/>
      </c>
      <c r="AC23" s="52" t="str" cm="1">
        <f t="array" ref="AC23">IFERROR(_xlfn.XLOOKUP($I23,#REF!,_xlfn.XLOOKUP(AC$10,#REF!,#REF!,"",0,1),""),"")</f>
        <v/>
      </c>
      <c r="AD23" s="12" t="str" cm="1">
        <f t="array" ref="AD23">IFERROR(_xlfn.XLOOKUP($I23,#REF!,_xlfn.XLOOKUP(AD$10,#REF!,#REF!,"",0,1),""),"")</f>
        <v/>
      </c>
      <c r="AE23" s="12"/>
      <c r="AF23" s="12" t="str" cm="1">
        <f t="array" ref="AF23">IFERROR(_xlfn.XLOOKUP($I23,#REF!,_xlfn.XLOOKUP(AF$10,#REF!,#REF!,"",0,1),""),"")</f>
        <v/>
      </c>
      <c r="AG23" s="12" t="str" cm="1">
        <f t="array" ref="AG23">IFERROR(_xlfn.XLOOKUP($I23,#REF!,_xlfn.XLOOKUP(AG$10,#REF!,#REF!,"",0,1),""),"")</f>
        <v/>
      </c>
      <c r="AH23" s="12" t="str" cm="1">
        <f t="array" ref="AH23">IFERROR(_xlfn.XLOOKUP($I23,#REF!,_xlfn.XLOOKUP(AH$10,#REF!,#REF!,"",0,1),""),"")</f>
        <v/>
      </c>
      <c r="AI23" s="12" t="str" cm="1">
        <f t="array" ref="AI23">IFERROR(_xlfn.XLOOKUP($I23,#REF!,_xlfn.XLOOKUP(AI$10,#REF!,#REF!,"",0,1),""),"")</f>
        <v/>
      </c>
      <c r="AJ23" s="12"/>
      <c r="AK23" s="12"/>
      <c r="AL23" s="11" t="str" cm="1">
        <f t="array" ref="AL23">IFERROR(_xlfn.XLOOKUP($I23,#REF!,_xlfn.XLOOKUP(AL$10,#REF!,#REF!,"",0,1),""),"")</f>
        <v/>
      </c>
      <c r="AM23" s="11" t="str" cm="1">
        <f t="array" ref="AM23">IFERROR(_xlfn.XLOOKUP($I23,#REF!,_xlfn.XLOOKUP(AM$10,#REF!,#REF!,"",0,1),""),"")</f>
        <v/>
      </c>
      <c r="AN23" s="11" t="str" cm="1">
        <f t="array" ref="AN23">IFERROR(_xlfn.XLOOKUP($I23,#REF!,_xlfn.XLOOKUP(AN$10,#REF!,#REF!,"",0,1),""),"")</f>
        <v/>
      </c>
      <c r="AO23" s="11" t="str" cm="1">
        <f t="array" ref="AO23">IFERROR(_xlfn.XLOOKUP($I23,#REF!,_xlfn.XLOOKUP(AO$10,#REF!,#REF!,"",0,1),""),"")</f>
        <v/>
      </c>
      <c r="AP23" s="11" t="str" cm="1">
        <f t="array" ref="AP23">IFERROR(_xlfn.XLOOKUP($I23,#REF!,_xlfn.XLOOKUP(AP$10,#REF!,#REF!,"",0,1),""),"")</f>
        <v/>
      </c>
      <c r="AQ23" s="11" t="str" cm="1">
        <f t="array" ref="AQ23">IFERROR(_xlfn.XLOOKUP($I23,#REF!,_xlfn.XLOOKUP(AQ$10,#REF!,#REF!,"",0,1),""),"")</f>
        <v/>
      </c>
      <c r="AR23" s="12" t="str" cm="1">
        <f t="array" ref="AR23">IFERROR(_xlfn.XLOOKUP($I23,#REF!,_xlfn.XLOOKUP(AR$10,#REF!,#REF!,"",0,1),""),"")</f>
        <v/>
      </c>
      <c r="AS23" s="12" t="str" cm="1">
        <f t="array" ref="AS23">IFERROR(_xlfn.XLOOKUP($I23,#REF!,_xlfn.XLOOKUP(AS$10,#REF!,#REF!,"",0,1),""),"")</f>
        <v/>
      </c>
      <c r="AT23" s="12" t="str" cm="1">
        <f t="array" ref="AT23">IFERROR(_xlfn.XLOOKUP($I23,#REF!,_xlfn.XLOOKUP(AT$10,#REF!,#REF!,"",0,1),""),"")</f>
        <v/>
      </c>
      <c r="AU23" s="12" t="str" cm="1">
        <f t="array" ref="AU23">IFERROR(_xlfn.XLOOKUP($I23,#REF!,_xlfn.XLOOKUP(AU$10,#REF!,#REF!,"",0,1),""),"")</f>
        <v/>
      </c>
      <c r="AV23" s="12" t="str" cm="1">
        <f t="array" ref="AV23">IFERROR(_xlfn.XLOOKUP($I23,#REF!,_xlfn.XLOOKUP(AV$10,#REF!,#REF!,"",0,1),""),"")</f>
        <v/>
      </c>
      <c r="AW23" s="12" t="str">
        <f>IFERROR(_xlfn.XLOOKUP($I23,#REF!,#REF!,""),"")</f>
        <v/>
      </c>
      <c r="AX23" s="12" t="str">
        <f>IFERROR(_xlfn.XLOOKUP($I23,#REF!,#REF!,""),"")</f>
        <v/>
      </c>
      <c r="AY23" s="12" t="str">
        <f>IFERROR(_xlfn.XLOOKUP($I23,#REF!,#REF!,""),"")</f>
        <v/>
      </c>
      <c r="AZ23" s="11" t="str" cm="1">
        <f t="array" ref="AZ23">IFERROR(_xlfn.XLOOKUP($I23,#REF!,_xlfn.XLOOKUP(AZ$10,#REF!,#REF!,"",0,1),""),"")</f>
        <v/>
      </c>
      <c r="BA23" s="11" t="str" cm="1">
        <f t="array" ref="BA23">IFERROR(_xlfn.XLOOKUP($I23,#REF!,_xlfn.XLOOKUP(BA$10,#REF!,#REF!,"",0,1),""),"")</f>
        <v/>
      </c>
      <c r="BB23" s="11" t="str">
        <f>IFERROR(_xlfn.XLOOKUP($I23,#REF!,#REF!,""),"")</f>
        <v/>
      </c>
      <c r="BC23" s="11" t="str">
        <f>IFERROR(_xlfn.XLOOKUP($I23,#REF!,#REF!,""),"")</f>
        <v/>
      </c>
      <c r="BD23" s="12" t="str" cm="1">
        <f t="array" ref="BD23">IFERROR(_xlfn.XLOOKUP($I23,#REF!,_xlfn.XLOOKUP(BD$10,#REF!,#REF!,"",0,1),""),"")</f>
        <v/>
      </c>
      <c r="BE23" s="12" t="str" cm="1">
        <f t="array" ref="BE23">IFERROR(_xlfn.XLOOKUP($I23,#REF!,_xlfn.XLOOKUP(BE$10,#REF!,#REF!,"",0,1),""),"")</f>
        <v/>
      </c>
      <c r="BF23" s="12" t="str" cm="1">
        <f t="array" ref="BF23">IFERROR(_xlfn.XLOOKUP($I23,#REF!,_xlfn.XLOOKUP(BF$10,#REF!,#REF!,"",0,1),""),"")</f>
        <v/>
      </c>
      <c r="BG23" s="12" t="str" cm="1">
        <f t="array" ref="BG23">IFERROR(_xlfn.XLOOKUP($I23,#REF!,_xlfn.XLOOKUP(BG$10,#REF!,#REF!,"",0,1),""),"")</f>
        <v/>
      </c>
      <c r="BH23" s="12" t="str" cm="1">
        <f t="array" ref="BH23">IFERROR(_xlfn.XLOOKUP($I23,#REF!,_xlfn.XLOOKUP(BH$10,#REF!,#REF!,"",0,1),""),"")</f>
        <v/>
      </c>
      <c r="BI23" s="12" t="str" cm="1">
        <f t="array" ref="BI23">IFERROR(_xlfn.XLOOKUP($I23,#REF!,_xlfn.XLOOKUP(BI$10,#REF!,#REF!,"",0,1),""),"")</f>
        <v/>
      </c>
      <c r="BJ23" s="12" t="str" cm="1">
        <f t="array" ref="BJ23">IFERROR(_xlfn.XLOOKUP($I23,#REF!,_xlfn.XLOOKUP(BJ$10,#REF!,#REF!,"",0,1),""),"")</f>
        <v/>
      </c>
      <c r="BK23" s="12" t="str" cm="1">
        <f t="array" ref="BK23">IFERROR(_xlfn.XLOOKUP($I23,#REF!,_xlfn.XLOOKUP(BK$10,#REF!,#REF!,"",0,1),""),"")</f>
        <v/>
      </c>
      <c r="BL23" s="12" t="str" cm="1">
        <f t="array" ref="BL23">IFERROR(_xlfn.XLOOKUP($I23,#REF!,_xlfn.XLOOKUP(BL$10,#REF!,#REF!,"",0,1),""),"")</f>
        <v/>
      </c>
      <c r="BM23" s="12" t="str">
        <f>IFERROR(_xlfn.XLOOKUP($I23,#REF!,#REF!,""),"")</f>
        <v/>
      </c>
      <c r="BN23" s="12" t="str">
        <f>IFERROR(_xlfn.XLOOKUP($I23,#REF!,#REF!,""),"")</f>
        <v/>
      </c>
      <c r="BO23" s="12" t="str">
        <f>IFERROR(_xlfn.XLOOKUP($I23,#REF!,#REF!,""),"")</f>
        <v/>
      </c>
      <c r="BP23" s="12" t="str" cm="1">
        <f t="array" ref="BP23">IFERROR(_xlfn.XLOOKUP($I23,#REF!,_xlfn.XLOOKUP(BP$10,#REF!,#REF!,"",0,1),""),"")</f>
        <v/>
      </c>
      <c r="BQ23" s="12" t="str">
        <f>IFERROR(_xlfn.XLOOKUP($I23,#REF!,#REF!,""),"")</f>
        <v/>
      </c>
      <c r="BR23" s="12" t="str">
        <f>IFERROR(_xlfn.XLOOKUP($I23,#REF!,#REF!,""),"")</f>
        <v/>
      </c>
      <c r="BS23" s="12" t="str">
        <f>IFERROR(_xlfn.XLOOKUP($I23,#REF!,#REF!,""),"")</f>
        <v/>
      </c>
      <c r="BT23" s="11" t="str">
        <f>IFERROR(_xlfn.XLOOKUP($I23,#REF!,#REF!,""),"")</f>
        <v/>
      </c>
      <c r="BU23" s="11" t="str">
        <f>IFERROR(_xlfn.XLOOKUP($I23,#REF!,#REF!,""),"")</f>
        <v/>
      </c>
      <c r="BV23" s="32" t="str">
        <f>IFERROR(_xlfn.XLOOKUP($I23,#REF!,#REF!,""),"")</f>
        <v/>
      </c>
      <c r="BW23" s="12" t="str">
        <f>IFERROR(_xlfn.XLOOKUP($I23,#REF!,#REF!,""),"")</f>
        <v/>
      </c>
    </row>
    <row r="24" spans="3:75" ht="52.35" customHeight="1" x14ac:dyDescent="0.3">
      <c r="C24" s="22" t="str">
        <f>IFERROR(_xlfn.XLOOKUP($I24,#REF!,#REF!,""),"")</f>
        <v/>
      </c>
      <c r="D24" s="19" t="str">
        <f>IFERROR(_xlfn.XLOOKUP($I24,#REF!,#REF!,""),"")</f>
        <v/>
      </c>
      <c r="E24" s="23" t="str">
        <f>IFERROR(_xlfn.XLOOKUP($I24,#REF!,#REF!,""),"")</f>
        <v/>
      </c>
      <c r="F24" s="19" t="str">
        <f>IFERROR(_xlfn.XLOOKUP($I24,#REF!,#REF!,""),"")</f>
        <v/>
      </c>
      <c r="G24" s="19" t="str">
        <f>IFERROR(_xlfn.XLOOKUP($I24,#REF!,#REF!,""),"")</f>
        <v/>
      </c>
      <c r="H24" s="19" t="str">
        <f>IFERROR(_xlfn.XLOOKUP($I24,#REF!,#REF!,""),"")</f>
        <v/>
      </c>
      <c r="I24" s="77">
        <v>53835</v>
      </c>
      <c r="J24" s="12" t="str" cm="1">
        <f t="array" ref="J24">IFERROR(_xlfn.XLOOKUP($I24,#REF!,_xlfn.XLOOKUP(J$10,#REF!,#REF!,"",0,1),""),"")</f>
        <v/>
      </c>
      <c r="K24" s="12" t="str" cm="1">
        <f t="array" ref="K24">IFERROR(_xlfn.XLOOKUP($I24,#REF!,_xlfn.XLOOKUP(K$10,#REF!,#REF!,"",0,1),""),"")</f>
        <v/>
      </c>
      <c r="L24" s="12" t="str" cm="1">
        <f t="array" ref="L24">IFERROR(_xlfn.XLOOKUP($I24,#REF!,_xlfn.XLOOKUP(L$10,#REF!,#REF!,"",0,1),""),"")</f>
        <v/>
      </c>
      <c r="M24" s="36" t="str" cm="1">
        <f t="array" ref="M24">IFERROR(_xlfn.XLOOKUP($I24,#REF!,_xlfn.XLOOKUP(M$10,#REF!,#REF!,"",0,1),""),"")</f>
        <v/>
      </c>
      <c r="N24" s="37" t="str" cm="1">
        <f t="array" ref="N24">IFERROR(_xlfn.XLOOKUP($I24,#REF!,_xlfn.XLOOKUP(N$10,#REF!,#REF!,"",0,1),""),"")</f>
        <v/>
      </c>
      <c r="O24" s="12" t="str" cm="1">
        <f t="array" ref="O24">IFERROR(_xlfn.XLOOKUP($I24,#REF!,_xlfn.XLOOKUP(O$10,#REF!,#REF!,"",0,1),""),"")</f>
        <v/>
      </c>
      <c r="P24" s="12" t="str" cm="1">
        <f t="array" ref="P24">IFERROR(_xlfn.XLOOKUP($I24,#REF!,_xlfn.XLOOKUP(P$10,#REF!,#REF!,"",0,1),""),"")</f>
        <v/>
      </c>
      <c r="Q24" s="12" t="str" cm="1">
        <f t="array" ref="Q24">IFERROR(_xlfn.XLOOKUP($I24,#REF!,_xlfn.XLOOKUP(Q$10,#REF!,#REF!,"",0,1),""),"")</f>
        <v/>
      </c>
      <c r="R24" s="12" t="str" cm="1">
        <f t="array" ref="R24">IFERROR(_xlfn.XLOOKUP($I24,#REF!,_xlfn.XLOOKUP(R$10,#REF!,#REF!,"",0,1),""),"")</f>
        <v/>
      </c>
      <c r="S24" s="12" t="str">
        <f>IFERROR(_xlfn.XLOOKUP($I24,#REF!,#REF!,""),"")</f>
        <v/>
      </c>
      <c r="T24" s="12" t="str">
        <f>IFERROR(_xlfn.XLOOKUP($I24,#REF!,#REF!,""),"")</f>
        <v/>
      </c>
      <c r="U24" s="12" t="str">
        <f>IFERROR(_xlfn.XLOOKUP($I24,#REF!,#REF!,""),"")</f>
        <v/>
      </c>
      <c r="V24" s="12" t="str">
        <f>IFERROR(_xlfn.XLOOKUP($I24,#REF!,#REF!,""),"")</f>
        <v/>
      </c>
      <c r="W24" s="74" t="str" cm="1">
        <f t="array" ref="W24">IFERROR(_xlfn.XLOOKUP($I24,#REF!,_xlfn.XLOOKUP(W$10,#REF!,#REF!,"",0,1),""),"")</f>
        <v/>
      </c>
      <c r="X24" s="74" t="str" cm="1">
        <f t="array" ref="X24">IFERROR(_xlfn.XLOOKUP($I24,#REF!,_xlfn.XLOOKUP(X$10,#REF!,#REF!,"",0,1),""),"")</f>
        <v/>
      </c>
      <c r="Y24" s="74" t="str" cm="1">
        <f t="array" ref="Y24">IFERROR(_xlfn.XLOOKUP($I24,#REF!,_xlfn.XLOOKUP(Y$10,#REF!,#REF!,"",0,1),""),"")</f>
        <v/>
      </c>
      <c r="Z24" s="74" t="str" cm="1">
        <f t="array" ref="Z24">IFERROR(_xlfn.XLOOKUP($I24,#REF!,_xlfn.XLOOKUP(Z$10,#REF!,#REF!,"",0,1),""),"")</f>
        <v/>
      </c>
      <c r="AA24" s="74" t="str" cm="1">
        <f t="array" ref="AA24">IFERROR(_xlfn.XLOOKUP($I24,#REF!,_xlfn.XLOOKUP(AA$10,#REF!,#REF!,"",0,1),""),"")</f>
        <v/>
      </c>
      <c r="AB24" s="12" t="str" cm="1">
        <f t="array" ref="AB24">IFERROR(_xlfn.XLOOKUP($I24,#REF!,_xlfn.XLOOKUP(AB$10,#REF!,#REF!,"",0,1),""),"")</f>
        <v/>
      </c>
      <c r="AC24" s="52" t="str" cm="1">
        <f t="array" ref="AC24">IFERROR(_xlfn.XLOOKUP($I24,#REF!,_xlfn.XLOOKUP(AC$10,#REF!,#REF!,"",0,1),""),"")</f>
        <v/>
      </c>
      <c r="AD24" s="12" t="str" cm="1">
        <f t="array" ref="AD24">IFERROR(_xlfn.XLOOKUP($I24,#REF!,_xlfn.XLOOKUP(AD$10,#REF!,#REF!,"",0,1),""),"")</f>
        <v/>
      </c>
      <c r="AE24" s="12"/>
      <c r="AF24" s="12" t="str" cm="1">
        <f t="array" ref="AF24">IFERROR(_xlfn.XLOOKUP($I24,#REF!,_xlfn.XLOOKUP(AF$10,#REF!,#REF!,"",0,1),""),"")</f>
        <v/>
      </c>
      <c r="AG24" s="12" t="str" cm="1">
        <f t="array" ref="AG24">IFERROR(_xlfn.XLOOKUP($I24,#REF!,_xlfn.XLOOKUP(AG$10,#REF!,#REF!,"",0,1),""),"")</f>
        <v/>
      </c>
      <c r="AH24" s="12" t="str" cm="1">
        <f t="array" ref="AH24">IFERROR(_xlfn.XLOOKUP($I24,#REF!,_xlfn.XLOOKUP(AH$10,#REF!,#REF!,"",0,1),""),"")</f>
        <v/>
      </c>
      <c r="AI24" s="12" t="str" cm="1">
        <f t="array" ref="AI24">IFERROR(_xlfn.XLOOKUP($I24,#REF!,_xlfn.XLOOKUP(AI$10,#REF!,#REF!,"",0,1),""),"")</f>
        <v/>
      </c>
      <c r="AJ24" s="12"/>
      <c r="AK24" s="12"/>
      <c r="AL24" s="11" t="str" cm="1">
        <f t="array" ref="AL24">IFERROR(_xlfn.XLOOKUP($I24,#REF!,_xlfn.XLOOKUP(AL$10,#REF!,#REF!,"",0,1),""),"")</f>
        <v/>
      </c>
      <c r="AM24" s="11" t="str" cm="1">
        <f t="array" ref="AM24">IFERROR(_xlfn.XLOOKUP($I24,#REF!,_xlfn.XLOOKUP(AM$10,#REF!,#REF!,"",0,1),""),"")</f>
        <v/>
      </c>
      <c r="AN24" s="11" t="str" cm="1">
        <f t="array" ref="AN24">IFERROR(_xlfn.XLOOKUP($I24,#REF!,_xlfn.XLOOKUP(AN$10,#REF!,#REF!,"",0,1),""),"")</f>
        <v/>
      </c>
      <c r="AO24" s="11" t="str" cm="1">
        <f t="array" ref="AO24">IFERROR(_xlfn.XLOOKUP($I24,#REF!,_xlfn.XLOOKUP(AO$10,#REF!,#REF!,"",0,1),""),"")</f>
        <v/>
      </c>
      <c r="AP24" s="11" t="str" cm="1">
        <f t="array" ref="AP24">IFERROR(_xlfn.XLOOKUP($I24,#REF!,_xlfn.XLOOKUP(AP$10,#REF!,#REF!,"",0,1),""),"")</f>
        <v/>
      </c>
      <c r="AQ24" s="11" t="str" cm="1">
        <f t="array" ref="AQ24">IFERROR(_xlfn.XLOOKUP($I24,#REF!,_xlfn.XLOOKUP(AQ$10,#REF!,#REF!,"",0,1),""),"")</f>
        <v/>
      </c>
      <c r="AR24" s="12" t="str" cm="1">
        <f t="array" ref="AR24">IFERROR(_xlfn.XLOOKUP($I24,#REF!,_xlfn.XLOOKUP(AR$10,#REF!,#REF!,"",0,1),""),"")</f>
        <v/>
      </c>
      <c r="AS24" s="12" t="str" cm="1">
        <f t="array" ref="AS24">IFERROR(_xlfn.XLOOKUP($I24,#REF!,_xlfn.XLOOKUP(AS$10,#REF!,#REF!,"",0,1),""),"")</f>
        <v/>
      </c>
      <c r="AT24" s="12" t="str" cm="1">
        <f t="array" ref="AT24">IFERROR(_xlfn.XLOOKUP($I24,#REF!,_xlfn.XLOOKUP(AT$10,#REF!,#REF!,"",0,1),""),"")</f>
        <v/>
      </c>
      <c r="AU24" s="12" t="str" cm="1">
        <f t="array" ref="AU24">IFERROR(_xlfn.XLOOKUP($I24,#REF!,_xlfn.XLOOKUP(AU$10,#REF!,#REF!,"",0,1),""),"")</f>
        <v/>
      </c>
      <c r="AV24" s="12" t="str" cm="1">
        <f t="array" ref="AV24">IFERROR(_xlfn.XLOOKUP($I24,#REF!,_xlfn.XLOOKUP(AV$10,#REF!,#REF!,"",0,1),""),"")</f>
        <v/>
      </c>
      <c r="AW24" s="12" t="str">
        <f>IFERROR(_xlfn.XLOOKUP($I24,#REF!,#REF!,""),"")</f>
        <v/>
      </c>
      <c r="AX24" s="12" t="str">
        <f>IFERROR(_xlfn.XLOOKUP($I24,#REF!,#REF!,""),"")</f>
        <v/>
      </c>
      <c r="AY24" s="12" t="str">
        <f>IFERROR(_xlfn.XLOOKUP($I24,#REF!,#REF!,""),"")</f>
        <v/>
      </c>
      <c r="AZ24" s="11" t="str" cm="1">
        <f t="array" ref="AZ24">IFERROR(_xlfn.XLOOKUP($I24,#REF!,_xlfn.XLOOKUP(AZ$10,#REF!,#REF!,"",0,1),""),"")</f>
        <v/>
      </c>
      <c r="BA24" s="11" t="str" cm="1">
        <f t="array" ref="BA24">IFERROR(_xlfn.XLOOKUP($I24,#REF!,_xlfn.XLOOKUP(BA$10,#REF!,#REF!,"",0,1),""),"")</f>
        <v/>
      </c>
      <c r="BB24" s="11" t="str">
        <f>IFERROR(_xlfn.XLOOKUP($I24,#REF!,#REF!,""),"")</f>
        <v/>
      </c>
      <c r="BC24" s="11" t="str">
        <f>IFERROR(_xlfn.XLOOKUP($I24,#REF!,#REF!,""),"")</f>
        <v/>
      </c>
      <c r="BD24" s="12" t="str" cm="1">
        <f t="array" ref="BD24">IFERROR(_xlfn.XLOOKUP($I24,#REF!,_xlfn.XLOOKUP(BD$10,#REF!,#REF!,"",0,1),""),"")</f>
        <v/>
      </c>
      <c r="BE24" s="12" t="str" cm="1">
        <f t="array" ref="BE24">IFERROR(_xlfn.XLOOKUP($I24,#REF!,_xlfn.XLOOKUP(BE$10,#REF!,#REF!,"",0,1),""),"")</f>
        <v/>
      </c>
      <c r="BF24" s="12" t="str" cm="1">
        <f t="array" ref="BF24">IFERROR(_xlfn.XLOOKUP($I24,#REF!,_xlfn.XLOOKUP(BF$10,#REF!,#REF!,"",0,1),""),"")</f>
        <v/>
      </c>
      <c r="BG24" s="12" t="str" cm="1">
        <f t="array" ref="BG24">IFERROR(_xlfn.XLOOKUP($I24,#REF!,_xlfn.XLOOKUP(BG$10,#REF!,#REF!,"",0,1),""),"")</f>
        <v/>
      </c>
      <c r="BH24" s="12" t="str" cm="1">
        <f t="array" ref="BH24">IFERROR(_xlfn.XLOOKUP($I24,#REF!,_xlfn.XLOOKUP(BH$10,#REF!,#REF!,"",0,1),""),"")</f>
        <v/>
      </c>
      <c r="BI24" s="12" t="str" cm="1">
        <f t="array" ref="BI24">IFERROR(_xlfn.XLOOKUP($I24,#REF!,_xlfn.XLOOKUP(BI$10,#REF!,#REF!,"",0,1),""),"")</f>
        <v/>
      </c>
      <c r="BJ24" s="12" t="str" cm="1">
        <f t="array" ref="BJ24">IFERROR(_xlfn.XLOOKUP($I24,#REF!,_xlfn.XLOOKUP(BJ$10,#REF!,#REF!,"",0,1),""),"")</f>
        <v/>
      </c>
      <c r="BK24" s="12" t="str" cm="1">
        <f t="array" ref="BK24">IFERROR(_xlfn.XLOOKUP($I24,#REF!,_xlfn.XLOOKUP(BK$10,#REF!,#REF!,"",0,1),""),"")</f>
        <v/>
      </c>
      <c r="BL24" s="12" t="str" cm="1">
        <f t="array" ref="BL24">IFERROR(_xlfn.XLOOKUP($I24,#REF!,_xlfn.XLOOKUP(BL$10,#REF!,#REF!,"",0,1),""),"")</f>
        <v/>
      </c>
      <c r="BM24" s="12" t="str">
        <f>IFERROR(_xlfn.XLOOKUP($I24,#REF!,#REF!,""),"")</f>
        <v/>
      </c>
      <c r="BN24" s="12" t="str">
        <f>IFERROR(_xlfn.XLOOKUP($I24,#REF!,#REF!,""),"")</f>
        <v/>
      </c>
      <c r="BO24" s="12" t="str">
        <f>IFERROR(_xlfn.XLOOKUP($I24,#REF!,#REF!,""),"")</f>
        <v/>
      </c>
      <c r="BP24" s="12" t="str" cm="1">
        <f t="array" ref="BP24">IFERROR(_xlfn.XLOOKUP($I24,#REF!,_xlfn.XLOOKUP(BP$10,#REF!,#REF!,"",0,1),""),"")</f>
        <v/>
      </c>
      <c r="BQ24" s="12" t="str">
        <f>IFERROR(_xlfn.XLOOKUP($I24,#REF!,#REF!,""),"")</f>
        <v/>
      </c>
      <c r="BR24" s="12" t="str">
        <f>IFERROR(_xlfn.XLOOKUP($I24,#REF!,#REF!,""),"")</f>
        <v/>
      </c>
      <c r="BS24" s="12" t="str">
        <f>IFERROR(_xlfn.XLOOKUP($I24,#REF!,#REF!,""),"")</f>
        <v/>
      </c>
      <c r="BT24" s="11" t="str">
        <f>IFERROR(_xlfn.XLOOKUP($I24,#REF!,#REF!,""),"")</f>
        <v/>
      </c>
      <c r="BU24" s="11" t="str">
        <f>IFERROR(_xlfn.XLOOKUP($I24,#REF!,#REF!,""),"")</f>
        <v/>
      </c>
      <c r="BV24" s="32" t="str">
        <f>IFERROR(_xlfn.XLOOKUP($I24,#REF!,#REF!,""),"")</f>
        <v/>
      </c>
      <c r="BW24" s="12" t="str">
        <f>IFERROR(_xlfn.XLOOKUP($I24,#REF!,#REF!,""),"")</f>
        <v/>
      </c>
    </row>
    <row r="25" spans="3:75" ht="69.599999999999994" customHeight="1" x14ac:dyDescent="0.3">
      <c r="C25" s="22" t="str">
        <f>IFERROR(_xlfn.XLOOKUP($I25,#REF!,#REF!,""),"")</f>
        <v/>
      </c>
      <c r="D25" s="19" t="str">
        <f>IFERROR(_xlfn.XLOOKUP($I25,#REF!,#REF!,""),"")</f>
        <v/>
      </c>
      <c r="E25" s="23" t="str">
        <f>IFERROR(_xlfn.XLOOKUP($I25,#REF!,#REF!,""),"")</f>
        <v/>
      </c>
      <c r="F25" s="19" t="str">
        <f>IFERROR(_xlfn.XLOOKUP($I25,#REF!,#REF!,""),"")</f>
        <v/>
      </c>
      <c r="G25" s="19" t="str">
        <f>IFERROR(_xlfn.XLOOKUP($I25,#REF!,#REF!,""),"")</f>
        <v/>
      </c>
      <c r="H25" s="19" t="str">
        <f>IFERROR(_xlfn.XLOOKUP($I25,#REF!,#REF!,""),"")</f>
        <v/>
      </c>
      <c r="I25" s="77">
        <v>105309</v>
      </c>
      <c r="J25" s="12" t="str" cm="1">
        <f t="array" ref="J25">IFERROR(_xlfn.XLOOKUP($I25,#REF!,_xlfn.XLOOKUP(J$10,#REF!,#REF!,"",0,1),""),"")</f>
        <v/>
      </c>
      <c r="K25" s="12" t="str" cm="1">
        <f t="array" ref="K25">IFERROR(_xlfn.XLOOKUP($I25,#REF!,_xlfn.XLOOKUP(K$10,#REF!,#REF!,"",0,1),""),"")</f>
        <v/>
      </c>
      <c r="L25" s="12" t="str" cm="1">
        <f t="array" ref="L25">IFERROR(_xlfn.XLOOKUP($I25,#REF!,_xlfn.XLOOKUP(L$10,#REF!,#REF!,"",0,1),""),"")</f>
        <v/>
      </c>
      <c r="M25" s="36" t="str" cm="1">
        <f t="array" ref="M25">IFERROR(_xlfn.XLOOKUP($I25,#REF!,_xlfn.XLOOKUP(M$10,#REF!,#REF!,"",0,1),""),"")</f>
        <v/>
      </c>
      <c r="N25" s="37" t="str" cm="1">
        <f t="array" ref="N25">IFERROR(_xlfn.XLOOKUP($I25,#REF!,_xlfn.XLOOKUP(N$10,#REF!,#REF!,"",0,1),""),"")</f>
        <v/>
      </c>
      <c r="O25" s="12" t="str" cm="1">
        <f t="array" ref="O25">IFERROR(_xlfn.XLOOKUP($I25,#REF!,_xlfn.XLOOKUP(O$10,#REF!,#REF!,"",0,1),""),"")</f>
        <v/>
      </c>
      <c r="P25" s="12" t="str" cm="1">
        <f t="array" ref="P25">IFERROR(_xlfn.XLOOKUP($I25,#REF!,_xlfn.XLOOKUP(P$10,#REF!,#REF!,"",0,1),""),"")</f>
        <v/>
      </c>
      <c r="Q25" s="12" t="str" cm="1">
        <f t="array" ref="Q25">IFERROR(_xlfn.XLOOKUP($I25,#REF!,_xlfn.XLOOKUP(Q$10,#REF!,#REF!,"",0,1),""),"")</f>
        <v/>
      </c>
      <c r="R25" s="12" t="str" cm="1">
        <f t="array" ref="R25">IFERROR(_xlfn.XLOOKUP($I25,#REF!,_xlfn.XLOOKUP(R$10,#REF!,#REF!,"",0,1),""),"")</f>
        <v/>
      </c>
      <c r="S25" s="12" t="str">
        <f>IFERROR(_xlfn.XLOOKUP($I25,#REF!,#REF!,""),"")</f>
        <v/>
      </c>
      <c r="T25" s="12" t="str">
        <f>IFERROR(_xlfn.XLOOKUP($I25,#REF!,#REF!,""),"")</f>
        <v/>
      </c>
      <c r="U25" s="12" t="str">
        <f>IFERROR(_xlfn.XLOOKUP($I25,#REF!,#REF!,""),"")</f>
        <v/>
      </c>
      <c r="V25" s="12" t="str">
        <f>IFERROR(_xlfn.XLOOKUP($I25,#REF!,#REF!,""),"")</f>
        <v/>
      </c>
      <c r="W25" s="74" t="str" cm="1">
        <f t="array" ref="W25">IFERROR(_xlfn.XLOOKUP($I25,#REF!,_xlfn.XLOOKUP(W$10,#REF!,#REF!,"",0,1),""),"")</f>
        <v/>
      </c>
      <c r="X25" s="74" t="str" cm="1">
        <f t="array" ref="X25">IFERROR(_xlfn.XLOOKUP($I25,#REF!,_xlfn.XLOOKUP(X$10,#REF!,#REF!,"",0,1),""),"")</f>
        <v/>
      </c>
      <c r="Y25" s="74" t="str" cm="1">
        <f t="array" ref="Y25">IFERROR(_xlfn.XLOOKUP($I25,#REF!,_xlfn.XLOOKUP(Y$10,#REF!,#REF!,"",0,1),""),"")</f>
        <v/>
      </c>
      <c r="Z25" s="74" t="str" cm="1">
        <f t="array" ref="Z25">IFERROR(_xlfn.XLOOKUP($I25,#REF!,_xlfn.XLOOKUP(Z$10,#REF!,#REF!,"",0,1),""),"")</f>
        <v/>
      </c>
      <c r="AA25" s="74" t="str" cm="1">
        <f t="array" ref="AA25">IFERROR(_xlfn.XLOOKUP($I25,#REF!,_xlfn.XLOOKUP(AA$10,#REF!,#REF!,"",0,1),""),"")</f>
        <v/>
      </c>
      <c r="AB25" s="12" t="str" cm="1">
        <f t="array" ref="AB25">IFERROR(_xlfn.XLOOKUP($I25,#REF!,_xlfn.XLOOKUP(AB$10,#REF!,#REF!,"",0,1),""),"")</f>
        <v/>
      </c>
      <c r="AC25" s="52" t="str" cm="1">
        <f t="array" ref="AC25">IFERROR(_xlfn.XLOOKUP($I25,#REF!,_xlfn.XLOOKUP(AC$10,#REF!,#REF!,"",0,1),""),"")</f>
        <v/>
      </c>
      <c r="AD25" s="12" t="str" cm="1">
        <f t="array" ref="AD25">IFERROR(_xlfn.XLOOKUP($I25,#REF!,_xlfn.XLOOKUP(AD$10,#REF!,#REF!,"",0,1),""),"")</f>
        <v/>
      </c>
      <c r="AE25" s="12"/>
      <c r="AF25" s="12" t="str" cm="1">
        <f t="array" ref="AF25">IFERROR(_xlfn.XLOOKUP($I25,#REF!,_xlfn.XLOOKUP(AF$10,#REF!,#REF!,"",0,1),""),"")</f>
        <v/>
      </c>
      <c r="AG25" s="12" t="str" cm="1">
        <f t="array" ref="AG25">IFERROR(_xlfn.XLOOKUP($I25,#REF!,_xlfn.XLOOKUP(AG$10,#REF!,#REF!,"",0,1),""),"")</f>
        <v/>
      </c>
      <c r="AH25" s="12" t="str" cm="1">
        <f t="array" ref="AH25">IFERROR(_xlfn.XLOOKUP($I25,#REF!,_xlfn.XLOOKUP(AH$10,#REF!,#REF!,"",0,1),""),"")</f>
        <v/>
      </c>
      <c r="AI25" s="12" t="str" cm="1">
        <f t="array" ref="AI25">IFERROR(_xlfn.XLOOKUP($I25,#REF!,_xlfn.XLOOKUP(AI$10,#REF!,#REF!,"",0,1),""),"")</f>
        <v/>
      </c>
      <c r="AJ25" s="12"/>
      <c r="AK25" s="12"/>
      <c r="AL25" s="11" t="str" cm="1">
        <f t="array" ref="AL25">IFERROR(_xlfn.XLOOKUP($I25,#REF!,_xlfn.XLOOKUP(AL$10,#REF!,#REF!,"",0,1),""),"")</f>
        <v/>
      </c>
      <c r="AM25" s="11" t="str" cm="1">
        <f t="array" ref="AM25">IFERROR(_xlfn.XLOOKUP($I25,#REF!,_xlfn.XLOOKUP(AM$10,#REF!,#REF!,"",0,1),""),"")</f>
        <v/>
      </c>
      <c r="AN25" s="11" t="str" cm="1">
        <f t="array" ref="AN25">IFERROR(_xlfn.XLOOKUP($I25,#REF!,_xlfn.XLOOKUP(AN$10,#REF!,#REF!,"",0,1),""),"")</f>
        <v/>
      </c>
      <c r="AO25" s="11" t="str" cm="1">
        <f t="array" ref="AO25">IFERROR(_xlfn.XLOOKUP($I25,#REF!,_xlfn.XLOOKUP(AO$10,#REF!,#REF!,"",0,1),""),"")</f>
        <v/>
      </c>
      <c r="AP25" s="11" t="str" cm="1">
        <f t="array" ref="AP25">IFERROR(_xlfn.XLOOKUP($I25,#REF!,_xlfn.XLOOKUP(AP$10,#REF!,#REF!,"",0,1),""),"")</f>
        <v/>
      </c>
      <c r="AQ25" s="11" t="str" cm="1">
        <f t="array" ref="AQ25">IFERROR(_xlfn.XLOOKUP($I25,#REF!,_xlfn.XLOOKUP(AQ$10,#REF!,#REF!,"",0,1),""),"")</f>
        <v/>
      </c>
      <c r="AR25" s="12" t="str" cm="1">
        <f t="array" ref="AR25">IFERROR(_xlfn.XLOOKUP($I25,#REF!,_xlfn.XLOOKUP(AR$10,#REF!,#REF!,"",0,1),""),"")</f>
        <v/>
      </c>
      <c r="AS25" s="12" t="str" cm="1">
        <f t="array" ref="AS25">IFERROR(_xlfn.XLOOKUP($I25,#REF!,_xlfn.XLOOKUP(AS$10,#REF!,#REF!,"",0,1),""),"")</f>
        <v/>
      </c>
      <c r="AT25" s="12" t="str" cm="1">
        <f t="array" ref="AT25">IFERROR(_xlfn.XLOOKUP($I25,#REF!,_xlfn.XLOOKUP(AT$10,#REF!,#REF!,"",0,1),""),"")</f>
        <v/>
      </c>
      <c r="AU25" s="12" t="str" cm="1">
        <f t="array" ref="AU25">IFERROR(_xlfn.XLOOKUP($I25,#REF!,_xlfn.XLOOKUP(AU$10,#REF!,#REF!,"",0,1),""),"")</f>
        <v/>
      </c>
      <c r="AV25" s="12" t="str" cm="1">
        <f t="array" ref="AV25">IFERROR(_xlfn.XLOOKUP($I25,#REF!,_xlfn.XLOOKUP(AV$10,#REF!,#REF!,"",0,1),""),"")</f>
        <v/>
      </c>
      <c r="AW25" s="12" t="str">
        <f>IFERROR(_xlfn.XLOOKUP($I25,#REF!,#REF!,""),"")</f>
        <v/>
      </c>
      <c r="AX25" s="12" t="str">
        <f>IFERROR(_xlfn.XLOOKUP($I25,#REF!,#REF!,""),"")</f>
        <v/>
      </c>
      <c r="AY25" s="12" t="str">
        <f>IFERROR(_xlfn.XLOOKUP($I25,#REF!,#REF!,""),"")</f>
        <v/>
      </c>
      <c r="AZ25" s="11" t="str" cm="1">
        <f t="array" ref="AZ25">IFERROR(_xlfn.XLOOKUP($I25,#REF!,_xlfn.XLOOKUP(AZ$10,#REF!,#REF!,"",0,1),""),"")</f>
        <v/>
      </c>
      <c r="BA25" s="11" t="str" cm="1">
        <f t="array" ref="BA25">IFERROR(_xlfn.XLOOKUP($I25,#REF!,_xlfn.XLOOKUP(BA$10,#REF!,#REF!,"",0,1),""),"")</f>
        <v/>
      </c>
      <c r="BB25" s="11" t="str">
        <f>IFERROR(_xlfn.XLOOKUP($I25,#REF!,#REF!,""),"")</f>
        <v/>
      </c>
      <c r="BC25" s="11" t="str">
        <f>IFERROR(_xlfn.XLOOKUP($I25,#REF!,#REF!,""),"")</f>
        <v/>
      </c>
      <c r="BD25" s="12" t="str" cm="1">
        <f t="array" ref="BD25">IFERROR(_xlfn.XLOOKUP($I25,#REF!,_xlfn.XLOOKUP(BD$10,#REF!,#REF!,"",0,1),""),"")</f>
        <v/>
      </c>
      <c r="BE25" s="12" t="str" cm="1">
        <f t="array" ref="BE25">IFERROR(_xlfn.XLOOKUP($I25,#REF!,_xlfn.XLOOKUP(BE$10,#REF!,#REF!,"",0,1),""),"")</f>
        <v/>
      </c>
      <c r="BF25" s="12" t="str" cm="1">
        <f t="array" ref="BF25">IFERROR(_xlfn.XLOOKUP($I25,#REF!,_xlfn.XLOOKUP(BF$10,#REF!,#REF!,"",0,1),""),"")</f>
        <v/>
      </c>
      <c r="BG25" s="12" t="str" cm="1">
        <f t="array" ref="BG25">IFERROR(_xlfn.XLOOKUP($I25,#REF!,_xlfn.XLOOKUP(BG$10,#REF!,#REF!,"",0,1),""),"")</f>
        <v/>
      </c>
      <c r="BH25" s="12" t="str" cm="1">
        <f t="array" ref="BH25">IFERROR(_xlfn.XLOOKUP($I25,#REF!,_xlfn.XLOOKUP(BH$10,#REF!,#REF!,"",0,1),""),"")</f>
        <v/>
      </c>
      <c r="BI25" s="12" t="str" cm="1">
        <f t="array" ref="BI25">IFERROR(_xlfn.XLOOKUP($I25,#REF!,_xlfn.XLOOKUP(BI$10,#REF!,#REF!,"",0,1),""),"")</f>
        <v/>
      </c>
      <c r="BJ25" s="12" t="str" cm="1">
        <f t="array" ref="BJ25">IFERROR(_xlfn.XLOOKUP($I25,#REF!,_xlfn.XLOOKUP(BJ$10,#REF!,#REF!,"",0,1),""),"")</f>
        <v/>
      </c>
      <c r="BK25" s="12" t="str" cm="1">
        <f t="array" ref="BK25">IFERROR(_xlfn.XLOOKUP($I25,#REF!,_xlfn.XLOOKUP(BK$10,#REF!,#REF!,"",0,1),""),"")</f>
        <v/>
      </c>
      <c r="BL25" s="12" t="str" cm="1">
        <f t="array" ref="BL25">IFERROR(_xlfn.XLOOKUP($I25,#REF!,_xlfn.XLOOKUP(BL$10,#REF!,#REF!,"",0,1),""),"")</f>
        <v/>
      </c>
      <c r="BM25" s="12" t="str">
        <f>IFERROR(_xlfn.XLOOKUP($I25,#REF!,#REF!,""),"")</f>
        <v/>
      </c>
      <c r="BN25" s="12" t="str">
        <f>IFERROR(_xlfn.XLOOKUP($I25,#REF!,#REF!,""),"")</f>
        <v/>
      </c>
      <c r="BO25" s="12" t="str">
        <f>IFERROR(_xlfn.XLOOKUP($I25,#REF!,#REF!,""),"")</f>
        <v/>
      </c>
      <c r="BP25" s="12" t="str" cm="1">
        <f t="array" ref="BP25">IFERROR(_xlfn.XLOOKUP($I25,#REF!,_xlfn.XLOOKUP(BP$10,#REF!,#REF!,"",0,1),""),"")</f>
        <v/>
      </c>
      <c r="BQ25" s="12" t="str">
        <f>IFERROR(_xlfn.XLOOKUP($I25,#REF!,#REF!,""),"")</f>
        <v/>
      </c>
      <c r="BR25" s="12" t="str">
        <f>IFERROR(_xlfn.XLOOKUP($I25,#REF!,#REF!,""),"")</f>
        <v/>
      </c>
      <c r="BS25" s="12" t="str">
        <f>IFERROR(_xlfn.XLOOKUP($I25,#REF!,#REF!,""),"")</f>
        <v/>
      </c>
      <c r="BT25" s="11" t="str">
        <f>IFERROR(_xlfn.XLOOKUP($I25,#REF!,#REF!,""),"")</f>
        <v/>
      </c>
      <c r="BU25" s="11" t="str">
        <f>IFERROR(_xlfn.XLOOKUP($I25,#REF!,#REF!,""),"")</f>
        <v/>
      </c>
      <c r="BV25" s="32" t="str">
        <f>IFERROR(_xlfn.XLOOKUP($I25,#REF!,#REF!,""),"")</f>
        <v/>
      </c>
      <c r="BW25" s="12" t="str">
        <f>IFERROR(_xlfn.XLOOKUP($I25,#REF!,#REF!,""),"")</f>
        <v/>
      </c>
    </row>
    <row r="26" spans="3:75" ht="52.35" customHeight="1" x14ac:dyDescent="0.3">
      <c r="C26" s="22" t="str">
        <f>IFERROR(_xlfn.XLOOKUP($I26,#REF!,#REF!,""),"")</f>
        <v/>
      </c>
      <c r="D26" s="19" t="str">
        <f>IFERROR(_xlfn.XLOOKUP($I26,#REF!,#REF!,""),"")</f>
        <v/>
      </c>
      <c r="E26" s="23" t="str">
        <f>IFERROR(_xlfn.XLOOKUP($I26,#REF!,#REF!,""),"")</f>
        <v/>
      </c>
      <c r="F26" s="19" t="str">
        <f>IFERROR(_xlfn.XLOOKUP($I26,#REF!,#REF!,""),"")</f>
        <v/>
      </c>
      <c r="G26" s="19" t="str">
        <f>IFERROR(_xlfn.XLOOKUP($I26,#REF!,#REF!,""),"")</f>
        <v/>
      </c>
      <c r="H26" s="19" t="str">
        <f>IFERROR(_xlfn.XLOOKUP($I26,#REF!,#REF!,""),"")</f>
        <v/>
      </c>
      <c r="I26" s="77">
        <v>7470</v>
      </c>
      <c r="J26" s="12" t="str" cm="1">
        <f t="array" ref="J26">IFERROR(_xlfn.XLOOKUP($I26,#REF!,_xlfn.XLOOKUP(J$10,#REF!,#REF!,"",0,1),""),"")</f>
        <v/>
      </c>
      <c r="K26" s="12" t="str" cm="1">
        <f t="array" ref="K26">IFERROR(_xlfn.XLOOKUP($I26,#REF!,_xlfn.XLOOKUP(K$10,#REF!,#REF!,"",0,1),""),"")</f>
        <v/>
      </c>
      <c r="L26" s="12" t="str" cm="1">
        <f t="array" ref="L26">IFERROR(_xlfn.XLOOKUP($I26,#REF!,_xlfn.XLOOKUP(L$10,#REF!,#REF!,"",0,1),""),"")</f>
        <v/>
      </c>
      <c r="M26" s="36" t="str" cm="1">
        <f t="array" ref="M26">IFERROR(_xlfn.XLOOKUP($I26,#REF!,_xlfn.XLOOKUP(M$10,#REF!,#REF!,"",0,1),""),"")</f>
        <v/>
      </c>
      <c r="N26" s="37" t="str" cm="1">
        <f t="array" ref="N26">IFERROR(_xlfn.XLOOKUP($I26,#REF!,_xlfn.XLOOKUP(N$10,#REF!,#REF!,"",0,1),""),"")</f>
        <v/>
      </c>
      <c r="O26" s="12" t="str" cm="1">
        <f t="array" ref="O26">IFERROR(_xlfn.XLOOKUP($I26,#REF!,_xlfn.XLOOKUP(O$10,#REF!,#REF!,"",0,1),""),"")</f>
        <v/>
      </c>
      <c r="P26" s="12" t="str" cm="1">
        <f t="array" ref="P26">IFERROR(_xlfn.XLOOKUP($I26,#REF!,_xlfn.XLOOKUP(P$10,#REF!,#REF!,"",0,1),""),"")</f>
        <v/>
      </c>
      <c r="Q26" s="12" t="str" cm="1">
        <f t="array" ref="Q26">IFERROR(_xlfn.XLOOKUP($I26,#REF!,_xlfn.XLOOKUP(Q$10,#REF!,#REF!,"",0,1),""),"")</f>
        <v/>
      </c>
      <c r="R26" s="12" t="str" cm="1">
        <f t="array" ref="R26">IFERROR(_xlfn.XLOOKUP($I26,#REF!,_xlfn.XLOOKUP(R$10,#REF!,#REF!,"",0,1),""),"")</f>
        <v/>
      </c>
      <c r="S26" s="12" t="str">
        <f>IFERROR(_xlfn.XLOOKUP($I26,#REF!,#REF!,""),"")</f>
        <v/>
      </c>
      <c r="T26" s="12" t="str">
        <f>IFERROR(_xlfn.XLOOKUP($I26,#REF!,#REF!,""),"")</f>
        <v/>
      </c>
      <c r="U26" s="12" t="str">
        <f>IFERROR(_xlfn.XLOOKUP($I26,#REF!,#REF!,""),"")</f>
        <v/>
      </c>
      <c r="V26" s="12" t="str">
        <f>IFERROR(_xlfn.XLOOKUP($I26,#REF!,#REF!,""),"")</f>
        <v/>
      </c>
      <c r="W26" s="74" t="str" cm="1">
        <f t="array" ref="W26">IFERROR(_xlfn.XLOOKUP($I26,#REF!,_xlfn.XLOOKUP(W$10,#REF!,#REF!,"",0,1),""),"")</f>
        <v/>
      </c>
      <c r="X26" s="74" t="str" cm="1">
        <f t="array" ref="X26">IFERROR(_xlfn.XLOOKUP($I26,#REF!,_xlfn.XLOOKUP(X$10,#REF!,#REF!,"",0,1),""),"")</f>
        <v/>
      </c>
      <c r="Y26" s="74" t="str" cm="1">
        <f t="array" ref="Y26">IFERROR(_xlfn.XLOOKUP($I26,#REF!,_xlfn.XLOOKUP(Y$10,#REF!,#REF!,"",0,1),""),"")</f>
        <v/>
      </c>
      <c r="Z26" s="74" t="str" cm="1">
        <f t="array" ref="Z26">IFERROR(_xlfn.XLOOKUP($I26,#REF!,_xlfn.XLOOKUP(Z$10,#REF!,#REF!,"",0,1),""),"")</f>
        <v/>
      </c>
      <c r="AA26" s="74" t="str" cm="1">
        <f t="array" ref="AA26">IFERROR(_xlfn.XLOOKUP($I26,#REF!,_xlfn.XLOOKUP(AA$10,#REF!,#REF!,"",0,1),""),"")</f>
        <v/>
      </c>
      <c r="AB26" s="12" t="str" cm="1">
        <f t="array" ref="AB26">IFERROR(_xlfn.XLOOKUP($I26,#REF!,_xlfn.XLOOKUP(AB$10,#REF!,#REF!,"",0,1),""),"")</f>
        <v/>
      </c>
      <c r="AC26" s="52" t="str" cm="1">
        <f t="array" ref="AC26">IFERROR(_xlfn.XLOOKUP($I26,#REF!,_xlfn.XLOOKUP(AC$10,#REF!,#REF!,"",0,1),""),"")</f>
        <v/>
      </c>
      <c r="AD26" s="12" t="str" cm="1">
        <f t="array" ref="AD26">IFERROR(_xlfn.XLOOKUP($I26,#REF!,_xlfn.XLOOKUP(AD$10,#REF!,#REF!,"",0,1),""),"")</f>
        <v/>
      </c>
      <c r="AE26" s="12"/>
      <c r="AF26" s="12" t="str" cm="1">
        <f t="array" ref="AF26">IFERROR(_xlfn.XLOOKUP($I26,#REF!,_xlfn.XLOOKUP(AF$10,#REF!,#REF!,"",0,1),""),"")</f>
        <v/>
      </c>
      <c r="AG26" s="12" t="str" cm="1">
        <f t="array" ref="AG26">IFERROR(_xlfn.XLOOKUP($I26,#REF!,_xlfn.XLOOKUP(AG$10,#REF!,#REF!,"",0,1),""),"")</f>
        <v/>
      </c>
      <c r="AH26" s="12" t="str" cm="1">
        <f t="array" ref="AH26">IFERROR(_xlfn.XLOOKUP($I26,#REF!,_xlfn.XLOOKUP(AH$10,#REF!,#REF!,"",0,1),""),"")</f>
        <v/>
      </c>
      <c r="AI26" s="12" t="str" cm="1">
        <f t="array" ref="AI26">IFERROR(_xlfn.XLOOKUP($I26,#REF!,_xlfn.XLOOKUP(AI$10,#REF!,#REF!,"",0,1),""),"")</f>
        <v/>
      </c>
      <c r="AJ26" s="12"/>
      <c r="AK26" s="12"/>
      <c r="AL26" s="11" t="str" cm="1">
        <f t="array" ref="AL26">IFERROR(_xlfn.XLOOKUP($I26,#REF!,_xlfn.XLOOKUP(AL$10,#REF!,#REF!,"",0,1),""),"")</f>
        <v/>
      </c>
      <c r="AM26" s="11" t="str" cm="1">
        <f t="array" ref="AM26">IFERROR(_xlfn.XLOOKUP($I26,#REF!,_xlfn.XLOOKUP(AM$10,#REF!,#REF!,"",0,1),""),"")</f>
        <v/>
      </c>
      <c r="AN26" s="11" t="str" cm="1">
        <f t="array" ref="AN26">IFERROR(_xlfn.XLOOKUP($I26,#REF!,_xlfn.XLOOKUP(AN$10,#REF!,#REF!,"",0,1),""),"")</f>
        <v/>
      </c>
      <c r="AO26" s="11" t="str" cm="1">
        <f t="array" ref="AO26">IFERROR(_xlfn.XLOOKUP($I26,#REF!,_xlfn.XLOOKUP(AO$10,#REF!,#REF!,"",0,1),""),"")</f>
        <v/>
      </c>
      <c r="AP26" s="11" t="str" cm="1">
        <f t="array" ref="AP26">IFERROR(_xlfn.XLOOKUP($I26,#REF!,_xlfn.XLOOKUP(AP$10,#REF!,#REF!,"",0,1),""),"")</f>
        <v/>
      </c>
      <c r="AQ26" s="11" t="str" cm="1">
        <f t="array" ref="AQ26">IFERROR(_xlfn.XLOOKUP($I26,#REF!,_xlfn.XLOOKUP(AQ$10,#REF!,#REF!,"",0,1),""),"")</f>
        <v/>
      </c>
      <c r="AR26" s="12" t="str" cm="1">
        <f t="array" ref="AR26">IFERROR(_xlfn.XLOOKUP($I26,#REF!,_xlfn.XLOOKUP(AR$10,#REF!,#REF!,"",0,1),""),"")</f>
        <v/>
      </c>
      <c r="AS26" s="12" t="str" cm="1">
        <f t="array" ref="AS26">IFERROR(_xlfn.XLOOKUP($I26,#REF!,_xlfn.XLOOKUP(AS$10,#REF!,#REF!,"",0,1),""),"")</f>
        <v/>
      </c>
      <c r="AT26" s="12" t="str" cm="1">
        <f t="array" ref="AT26">IFERROR(_xlfn.XLOOKUP($I26,#REF!,_xlfn.XLOOKUP(AT$10,#REF!,#REF!,"",0,1),""),"")</f>
        <v/>
      </c>
      <c r="AU26" s="12" t="str" cm="1">
        <f t="array" ref="AU26">IFERROR(_xlfn.XLOOKUP($I26,#REF!,_xlfn.XLOOKUP(AU$10,#REF!,#REF!,"",0,1),""),"")</f>
        <v/>
      </c>
      <c r="AV26" s="12" t="str" cm="1">
        <f t="array" ref="AV26">IFERROR(_xlfn.XLOOKUP($I26,#REF!,_xlfn.XLOOKUP(AV$10,#REF!,#REF!,"",0,1),""),"")</f>
        <v/>
      </c>
      <c r="AW26" s="12" t="str">
        <f>IFERROR(_xlfn.XLOOKUP($I26,#REF!,#REF!,""),"")</f>
        <v/>
      </c>
      <c r="AX26" s="12" t="str">
        <f>IFERROR(_xlfn.XLOOKUP($I26,#REF!,#REF!,""),"")</f>
        <v/>
      </c>
      <c r="AY26" s="12" t="str">
        <f>IFERROR(_xlfn.XLOOKUP($I26,#REF!,#REF!,""),"")</f>
        <v/>
      </c>
      <c r="AZ26" s="11" t="str" cm="1">
        <f t="array" ref="AZ26">IFERROR(_xlfn.XLOOKUP($I26,#REF!,_xlfn.XLOOKUP(AZ$10,#REF!,#REF!,"",0,1),""),"")</f>
        <v/>
      </c>
      <c r="BA26" s="11" t="str" cm="1">
        <f t="array" ref="BA26">IFERROR(_xlfn.XLOOKUP($I26,#REF!,_xlfn.XLOOKUP(BA$10,#REF!,#REF!,"",0,1),""),"")</f>
        <v/>
      </c>
      <c r="BB26" s="11" t="str">
        <f>IFERROR(_xlfn.XLOOKUP($I26,#REF!,#REF!,""),"")</f>
        <v/>
      </c>
      <c r="BC26" s="11" t="str">
        <f>IFERROR(_xlfn.XLOOKUP($I26,#REF!,#REF!,""),"")</f>
        <v/>
      </c>
      <c r="BD26" s="12" t="str" cm="1">
        <f t="array" ref="BD26">IFERROR(_xlfn.XLOOKUP($I26,#REF!,_xlfn.XLOOKUP(BD$10,#REF!,#REF!,"",0,1),""),"")</f>
        <v/>
      </c>
      <c r="BE26" s="12" t="str" cm="1">
        <f t="array" ref="BE26">IFERROR(_xlfn.XLOOKUP($I26,#REF!,_xlfn.XLOOKUP(BE$10,#REF!,#REF!,"",0,1),""),"")</f>
        <v/>
      </c>
      <c r="BF26" s="12" t="str" cm="1">
        <f t="array" ref="BF26">IFERROR(_xlfn.XLOOKUP($I26,#REF!,_xlfn.XLOOKUP(BF$10,#REF!,#REF!,"",0,1),""),"")</f>
        <v/>
      </c>
      <c r="BG26" s="12" t="str" cm="1">
        <f t="array" ref="BG26">IFERROR(_xlfn.XLOOKUP($I26,#REF!,_xlfn.XLOOKUP(BG$10,#REF!,#REF!,"",0,1),""),"")</f>
        <v/>
      </c>
      <c r="BH26" s="12" t="str" cm="1">
        <f t="array" ref="BH26">IFERROR(_xlfn.XLOOKUP($I26,#REF!,_xlfn.XLOOKUP(BH$10,#REF!,#REF!,"",0,1),""),"")</f>
        <v/>
      </c>
      <c r="BI26" s="12" t="str" cm="1">
        <f t="array" ref="BI26">IFERROR(_xlfn.XLOOKUP($I26,#REF!,_xlfn.XLOOKUP(BI$10,#REF!,#REF!,"",0,1),""),"")</f>
        <v/>
      </c>
      <c r="BJ26" s="12" t="str" cm="1">
        <f t="array" ref="BJ26">IFERROR(_xlfn.XLOOKUP($I26,#REF!,_xlfn.XLOOKUP(BJ$10,#REF!,#REF!,"",0,1),""),"")</f>
        <v/>
      </c>
      <c r="BK26" s="12" t="str" cm="1">
        <f t="array" ref="BK26">IFERROR(_xlfn.XLOOKUP($I26,#REF!,_xlfn.XLOOKUP(BK$10,#REF!,#REF!,"",0,1),""),"")</f>
        <v/>
      </c>
      <c r="BL26" s="12" t="str" cm="1">
        <f t="array" ref="BL26">IFERROR(_xlfn.XLOOKUP($I26,#REF!,_xlfn.XLOOKUP(BL$10,#REF!,#REF!,"",0,1),""),"")</f>
        <v/>
      </c>
      <c r="BM26" s="12" t="str">
        <f>IFERROR(_xlfn.XLOOKUP($I26,#REF!,#REF!,""),"")</f>
        <v/>
      </c>
      <c r="BN26" s="12" t="str">
        <f>IFERROR(_xlfn.XLOOKUP($I26,#REF!,#REF!,""),"")</f>
        <v/>
      </c>
      <c r="BO26" s="12" t="str">
        <f>IFERROR(_xlfn.XLOOKUP($I26,#REF!,#REF!,""),"")</f>
        <v/>
      </c>
      <c r="BP26" s="12" t="str" cm="1">
        <f t="array" ref="BP26">IFERROR(_xlfn.XLOOKUP($I26,#REF!,_xlfn.XLOOKUP(BP$10,#REF!,#REF!,"",0,1),""),"")</f>
        <v/>
      </c>
      <c r="BQ26" s="12" t="str">
        <f>IFERROR(_xlfn.XLOOKUP($I26,#REF!,#REF!,""),"")</f>
        <v/>
      </c>
      <c r="BR26" s="12" t="str">
        <f>IFERROR(_xlfn.XLOOKUP($I26,#REF!,#REF!,""),"")</f>
        <v/>
      </c>
      <c r="BS26" s="12" t="str">
        <f>IFERROR(_xlfn.XLOOKUP($I26,#REF!,#REF!,""),"")</f>
        <v/>
      </c>
      <c r="BT26" s="11" t="str">
        <f>IFERROR(_xlfn.XLOOKUP($I26,#REF!,#REF!,""),"")</f>
        <v/>
      </c>
      <c r="BU26" s="11" t="str">
        <f>IFERROR(_xlfn.XLOOKUP($I26,#REF!,#REF!,""),"")</f>
        <v/>
      </c>
      <c r="BV26" s="32" t="str">
        <f>IFERROR(_xlfn.XLOOKUP($I26,#REF!,#REF!,""),"")</f>
        <v/>
      </c>
      <c r="BW26" s="12" t="str">
        <f>IFERROR(_xlfn.XLOOKUP($I26,#REF!,#REF!,""),"")</f>
        <v/>
      </c>
    </row>
    <row r="27" spans="3:75" ht="52.35" customHeight="1" x14ac:dyDescent="0.3">
      <c r="C27" s="22" t="str">
        <f>IFERROR(_xlfn.XLOOKUP($I27,#REF!,#REF!,""),"")</f>
        <v/>
      </c>
      <c r="D27" s="19" t="str">
        <f>IFERROR(_xlfn.XLOOKUP($I27,#REF!,#REF!,""),"")</f>
        <v/>
      </c>
      <c r="E27" s="23" t="str">
        <f>IFERROR(_xlfn.XLOOKUP($I27,#REF!,#REF!,""),"")</f>
        <v/>
      </c>
      <c r="F27" s="19" t="str">
        <f>IFERROR(_xlfn.XLOOKUP($I27,#REF!,#REF!,""),"")</f>
        <v/>
      </c>
      <c r="G27" s="19" t="str">
        <f>IFERROR(_xlfn.XLOOKUP($I27,#REF!,#REF!,""),"")</f>
        <v/>
      </c>
      <c r="H27" s="19" t="str">
        <f>IFERROR(_xlfn.XLOOKUP($I27,#REF!,#REF!,""),"")</f>
        <v/>
      </c>
      <c r="I27" s="77">
        <v>101492</v>
      </c>
      <c r="J27" s="12" t="str" cm="1">
        <f t="array" ref="J27">IFERROR(_xlfn.XLOOKUP($I27,#REF!,_xlfn.XLOOKUP(J$10,#REF!,#REF!,"",0,1),""),"")</f>
        <v/>
      </c>
      <c r="K27" s="12" t="str" cm="1">
        <f t="array" ref="K27">IFERROR(_xlfn.XLOOKUP($I27,#REF!,_xlfn.XLOOKUP(K$10,#REF!,#REF!,"",0,1),""),"")</f>
        <v/>
      </c>
      <c r="L27" s="12" t="str" cm="1">
        <f t="array" ref="L27">IFERROR(_xlfn.XLOOKUP($I27,#REF!,_xlfn.XLOOKUP(L$10,#REF!,#REF!,"",0,1),""),"")</f>
        <v/>
      </c>
      <c r="M27" s="36" t="str" cm="1">
        <f t="array" ref="M27">IFERROR(_xlfn.XLOOKUP($I27,#REF!,_xlfn.XLOOKUP(M$10,#REF!,#REF!,"",0,1),""),"")</f>
        <v/>
      </c>
      <c r="N27" s="37" t="str" cm="1">
        <f t="array" ref="N27">IFERROR(_xlfn.XLOOKUP($I27,#REF!,_xlfn.XLOOKUP(N$10,#REF!,#REF!,"",0,1),""),"")</f>
        <v/>
      </c>
      <c r="O27" s="12" t="str" cm="1">
        <f t="array" ref="O27">IFERROR(_xlfn.XLOOKUP($I27,#REF!,_xlfn.XLOOKUP(O$10,#REF!,#REF!,"",0,1),""),"")</f>
        <v/>
      </c>
      <c r="P27" s="12" t="str" cm="1">
        <f t="array" ref="P27">IFERROR(_xlfn.XLOOKUP($I27,#REF!,_xlfn.XLOOKUP(P$10,#REF!,#REF!,"",0,1),""),"")</f>
        <v/>
      </c>
      <c r="Q27" s="12" t="str" cm="1">
        <f t="array" ref="Q27">IFERROR(_xlfn.XLOOKUP($I27,#REF!,_xlfn.XLOOKUP(Q$10,#REF!,#REF!,"",0,1),""),"")</f>
        <v/>
      </c>
      <c r="R27" s="12" t="str" cm="1">
        <f t="array" ref="R27">IFERROR(_xlfn.XLOOKUP($I27,#REF!,_xlfn.XLOOKUP(R$10,#REF!,#REF!,"",0,1),""),"")</f>
        <v/>
      </c>
      <c r="S27" s="12" t="str">
        <f>IFERROR(_xlfn.XLOOKUP($I27,#REF!,#REF!,""),"")</f>
        <v/>
      </c>
      <c r="T27" s="12" t="str">
        <f>IFERROR(_xlfn.XLOOKUP($I27,#REF!,#REF!,""),"")</f>
        <v/>
      </c>
      <c r="U27" s="12" t="str">
        <f>IFERROR(_xlfn.XLOOKUP($I27,#REF!,#REF!,""),"")</f>
        <v/>
      </c>
      <c r="V27" s="12" t="str">
        <f>IFERROR(_xlfn.XLOOKUP($I27,#REF!,#REF!,""),"")</f>
        <v/>
      </c>
      <c r="W27" s="74" t="str" cm="1">
        <f t="array" ref="W27">IFERROR(_xlfn.XLOOKUP($I27,#REF!,_xlfn.XLOOKUP(W$10,#REF!,#REF!,"",0,1),""),"")</f>
        <v/>
      </c>
      <c r="X27" s="74" t="str" cm="1">
        <f t="array" ref="X27">IFERROR(_xlfn.XLOOKUP($I27,#REF!,_xlfn.XLOOKUP(X$10,#REF!,#REF!,"",0,1),""),"")</f>
        <v/>
      </c>
      <c r="Y27" s="74" t="str" cm="1">
        <f t="array" ref="Y27">IFERROR(_xlfn.XLOOKUP($I27,#REF!,_xlfn.XLOOKUP(Y$10,#REF!,#REF!,"",0,1),""),"")</f>
        <v/>
      </c>
      <c r="Z27" s="74" t="str" cm="1">
        <f t="array" ref="Z27">IFERROR(_xlfn.XLOOKUP($I27,#REF!,_xlfn.XLOOKUP(Z$10,#REF!,#REF!,"",0,1),""),"")</f>
        <v/>
      </c>
      <c r="AA27" s="74" t="str" cm="1">
        <f t="array" ref="AA27">IFERROR(_xlfn.XLOOKUP($I27,#REF!,_xlfn.XLOOKUP(AA$10,#REF!,#REF!,"",0,1),""),"")</f>
        <v/>
      </c>
      <c r="AB27" s="12" t="str" cm="1">
        <f t="array" ref="AB27">IFERROR(_xlfn.XLOOKUP($I27,#REF!,_xlfn.XLOOKUP(AB$10,#REF!,#REF!,"",0,1),""),"")</f>
        <v/>
      </c>
      <c r="AC27" s="52" t="str" cm="1">
        <f t="array" ref="AC27">IFERROR(_xlfn.XLOOKUP($I27,#REF!,_xlfn.XLOOKUP(AC$10,#REF!,#REF!,"",0,1),""),"")</f>
        <v/>
      </c>
      <c r="AD27" s="12" t="str" cm="1">
        <f t="array" ref="AD27">IFERROR(_xlfn.XLOOKUP($I27,#REF!,_xlfn.XLOOKUP(AD$10,#REF!,#REF!,"",0,1),""),"")</f>
        <v/>
      </c>
      <c r="AE27" s="12"/>
      <c r="AF27" s="12" t="str" cm="1">
        <f t="array" ref="AF27">IFERROR(_xlfn.XLOOKUP($I27,#REF!,_xlfn.XLOOKUP(AF$10,#REF!,#REF!,"",0,1),""),"")</f>
        <v/>
      </c>
      <c r="AG27" s="12" t="str" cm="1">
        <f t="array" ref="AG27">IFERROR(_xlfn.XLOOKUP($I27,#REF!,_xlfn.XLOOKUP(AG$10,#REF!,#REF!,"",0,1),""),"")</f>
        <v/>
      </c>
      <c r="AH27" s="12" t="str" cm="1">
        <f t="array" ref="AH27">IFERROR(_xlfn.XLOOKUP($I27,#REF!,_xlfn.XLOOKUP(AH$10,#REF!,#REF!,"",0,1),""),"")</f>
        <v/>
      </c>
      <c r="AI27" s="12" t="str" cm="1">
        <f t="array" ref="AI27">IFERROR(_xlfn.XLOOKUP($I27,#REF!,_xlfn.XLOOKUP(AI$10,#REF!,#REF!,"",0,1),""),"")</f>
        <v/>
      </c>
      <c r="AJ27" s="12"/>
      <c r="AK27" s="12"/>
      <c r="AL27" s="11" t="str" cm="1">
        <f t="array" ref="AL27">IFERROR(_xlfn.XLOOKUP($I27,#REF!,_xlfn.XLOOKUP(AL$10,#REF!,#REF!,"",0,1),""),"")</f>
        <v/>
      </c>
      <c r="AM27" s="11" t="str" cm="1">
        <f t="array" ref="AM27">IFERROR(_xlfn.XLOOKUP($I27,#REF!,_xlfn.XLOOKUP(AM$10,#REF!,#REF!,"",0,1),""),"")</f>
        <v/>
      </c>
      <c r="AN27" s="11" t="str" cm="1">
        <f t="array" ref="AN27">IFERROR(_xlfn.XLOOKUP($I27,#REF!,_xlfn.XLOOKUP(AN$10,#REF!,#REF!,"",0,1),""),"")</f>
        <v/>
      </c>
      <c r="AO27" s="11" t="str" cm="1">
        <f t="array" ref="AO27">IFERROR(_xlfn.XLOOKUP($I27,#REF!,_xlfn.XLOOKUP(AO$10,#REF!,#REF!,"",0,1),""),"")</f>
        <v/>
      </c>
      <c r="AP27" s="11" t="str" cm="1">
        <f t="array" ref="AP27">IFERROR(_xlfn.XLOOKUP($I27,#REF!,_xlfn.XLOOKUP(AP$10,#REF!,#REF!,"",0,1),""),"")</f>
        <v/>
      </c>
      <c r="AQ27" s="11" t="str" cm="1">
        <f t="array" ref="AQ27">IFERROR(_xlfn.XLOOKUP($I27,#REF!,_xlfn.XLOOKUP(AQ$10,#REF!,#REF!,"",0,1),""),"")</f>
        <v/>
      </c>
      <c r="AR27" s="12" t="str" cm="1">
        <f t="array" ref="AR27">IFERROR(_xlfn.XLOOKUP($I27,#REF!,_xlfn.XLOOKUP(AR$10,#REF!,#REF!,"",0,1),""),"")</f>
        <v/>
      </c>
      <c r="AS27" s="12" t="str" cm="1">
        <f t="array" ref="AS27">IFERROR(_xlfn.XLOOKUP($I27,#REF!,_xlfn.XLOOKUP(AS$10,#REF!,#REF!,"",0,1),""),"")</f>
        <v/>
      </c>
      <c r="AT27" s="12" t="str" cm="1">
        <f t="array" ref="AT27">IFERROR(_xlfn.XLOOKUP($I27,#REF!,_xlfn.XLOOKUP(AT$10,#REF!,#REF!,"",0,1),""),"")</f>
        <v/>
      </c>
      <c r="AU27" s="12" t="str" cm="1">
        <f t="array" ref="AU27">IFERROR(_xlfn.XLOOKUP($I27,#REF!,_xlfn.XLOOKUP(AU$10,#REF!,#REF!,"",0,1),""),"")</f>
        <v/>
      </c>
      <c r="AV27" s="12" t="str" cm="1">
        <f t="array" ref="AV27">IFERROR(_xlfn.XLOOKUP($I27,#REF!,_xlfn.XLOOKUP(AV$10,#REF!,#REF!,"",0,1),""),"")</f>
        <v/>
      </c>
      <c r="AW27" s="12" t="str">
        <f>IFERROR(_xlfn.XLOOKUP($I27,#REF!,#REF!,""),"")</f>
        <v/>
      </c>
      <c r="AX27" s="12" t="str">
        <f>IFERROR(_xlfn.XLOOKUP($I27,#REF!,#REF!,""),"")</f>
        <v/>
      </c>
      <c r="AY27" s="12" t="str">
        <f>IFERROR(_xlfn.XLOOKUP($I27,#REF!,#REF!,""),"")</f>
        <v/>
      </c>
      <c r="AZ27" s="11" t="str" cm="1">
        <f t="array" ref="AZ27">IFERROR(_xlfn.XLOOKUP($I27,#REF!,_xlfn.XLOOKUP(AZ$10,#REF!,#REF!,"",0,1),""),"")</f>
        <v/>
      </c>
      <c r="BA27" s="11" t="str" cm="1">
        <f t="array" ref="BA27">IFERROR(_xlfn.XLOOKUP($I27,#REF!,_xlfn.XLOOKUP(BA$10,#REF!,#REF!,"",0,1),""),"")</f>
        <v/>
      </c>
      <c r="BB27" s="11" t="str">
        <f>IFERROR(_xlfn.XLOOKUP($I27,#REF!,#REF!,""),"")</f>
        <v/>
      </c>
      <c r="BC27" s="11" t="str">
        <f>IFERROR(_xlfn.XLOOKUP($I27,#REF!,#REF!,""),"")</f>
        <v/>
      </c>
      <c r="BD27" s="12" t="str" cm="1">
        <f t="array" ref="BD27">IFERROR(_xlfn.XLOOKUP($I27,#REF!,_xlfn.XLOOKUP(BD$10,#REF!,#REF!,"",0,1),""),"")</f>
        <v/>
      </c>
      <c r="BE27" s="12" t="str" cm="1">
        <f t="array" ref="BE27">IFERROR(_xlfn.XLOOKUP($I27,#REF!,_xlfn.XLOOKUP(BE$10,#REF!,#REF!,"",0,1),""),"")</f>
        <v/>
      </c>
      <c r="BF27" s="12" t="str" cm="1">
        <f t="array" ref="BF27">IFERROR(_xlfn.XLOOKUP($I27,#REF!,_xlfn.XLOOKUP(BF$10,#REF!,#REF!,"",0,1),""),"")</f>
        <v/>
      </c>
      <c r="BG27" s="12" t="str" cm="1">
        <f t="array" ref="BG27">IFERROR(_xlfn.XLOOKUP($I27,#REF!,_xlfn.XLOOKUP(BG$10,#REF!,#REF!,"",0,1),""),"")</f>
        <v/>
      </c>
      <c r="BH27" s="12" t="str" cm="1">
        <f t="array" ref="BH27">IFERROR(_xlfn.XLOOKUP($I27,#REF!,_xlfn.XLOOKUP(BH$10,#REF!,#REF!,"",0,1),""),"")</f>
        <v/>
      </c>
      <c r="BI27" s="12" t="str" cm="1">
        <f t="array" ref="BI27">IFERROR(_xlfn.XLOOKUP($I27,#REF!,_xlfn.XLOOKUP(BI$10,#REF!,#REF!,"",0,1),""),"")</f>
        <v/>
      </c>
      <c r="BJ27" s="12" t="str" cm="1">
        <f t="array" ref="BJ27">IFERROR(_xlfn.XLOOKUP($I27,#REF!,_xlfn.XLOOKUP(BJ$10,#REF!,#REF!,"",0,1),""),"")</f>
        <v/>
      </c>
      <c r="BK27" s="12" t="str" cm="1">
        <f t="array" ref="BK27">IFERROR(_xlfn.XLOOKUP($I27,#REF!,_xlfn.XLOOKUP(BK$10,#REF!,#REF!,"",0,1),""),"")</f>
        <v/>
      </c>
      <c r="BL27" s="12" t="str" cm="1">
        <f t="array" ref="BL27">IFERROR(_xlfn.XLOOKUP($I27,#REF!,_xlfn.XLOOKUP(BL$10,#REF!,#REF!,"",0,1),""),"")</f>
        <v/>
      </c>
      <c r="BM27" s="12" t="str">
        <f>IFERROR(_xlfn.XLOOKUP($I27,#REF!,#REF!,""),"")</f>
        <v/>
      </c>
      <c r="BN27" s="12" t="str">
        <f>IFERROR(_xlfn.XLOOKUP($I27,#REF!,#REF!,""),"")</f>
        <v/>
      </c>
      <c r="BO27" s="12" t="str">
        <f>IFERROR(_xlfn.XLOOKUP($I27,#REF!,#REF!,""),"")</f>
        <v/>
      </c>
      <c r="BP27" s="12" t="str" cm="1">
        <f t="array" ref="BP27">IFERROR(_xlfn.XLOOKUP($I27,#REF!,_xlfn.XLOOKUP(BP$10,#REF!,#REF!,"",0,1),""),"")</f>
        <v/>
      </c>
      <c r="BQ27" s="12" t="str">
        <f>IFERROR(_xlfn.XLOOKUP($I27,#REF!,#REF!,""),"")</f>
        <v/>
      </c>
      <c r="BR27" s="12" t="str">
        <f>IFERROR(_xlfn.XLOOKUP($I27,#REF!,#REF!,""),"")</f>
        <v/>
      </c>
      <c r="BS27" s="12" t="str">
        <f>IFERROR(_xlfn.XLOOKUP($I27,#REF!,#REF!,""),"")</f>
        <v/>
      </c>
      <c r="BT27" s="11" t="str">
        <f>IFERROR(_xlfn.XLOOKUP($I27,#REF!,#REF!,""),"")</f>
        <v/>
      </c>
      <c r="BU27" s="11" t="str">
        <f>IFERROR(_xlfn.XLOOKUP($I27,#REF!,#REF!,""),"")</f>
        <v/>
      </c>
      <c r="BV27" s="32" t="str">
        <f>IFERROR(_xlfn.XLOOKUP($I27,#REF!,#REF!,""),"")</f>
        <v/>
      </c>
      <c r="BW27" s="12" t="str">
        <f>IFERROR(_xlfn.XLOOKUP($I27,#REF!,#REF!,""),"")</f>
        <v/>
      </c>
    </row>
    <row r="28" spans="3:75" ht="57.6" customHeight="1" x14ac:dyDescent="0.3">
      <c r="C28" s="22" t="str">
        <f>IFERROR(_xlfn.XLOOKUP($I28,#REF!,#REF!,""),"")</f>
        <v/>
      </c>
      <c r="D28" s="19" t="str">
        <f>IFERROR(_xlfn.XLOOKUP($I28,#REF!,#REF!,""),"")</f>
        <v/>
      </c>
      <c r="E28" s="23" t="str">
        <f>IFERROR(_xlfn.XLOOKUP($I28,#REF!,#REF!,""),"")</f>
        <v/>
      </c>
      <c r="F28" s="19" t="str">
        <f>IFERROR(_xlfn.XLOOKUP($I28,#REF!,#REF!,""),"")</f>
        <v/>
      </c>
      <c r="G28" s="19" t="str">
        <f>IFERROR(_xlfn.XLOOKUP($I28,#REF!,#REF!,""),"")</f>
        <v/>
      </c>
      <c r="H28" s="19" t="str">
        <f>IFERROR(_xlfn.XLOOKUP($I28,#REF!,#REF!,""),"")</f>
        <v/>
      </c>
      <c r="I28" s="77">
        <v>105591</v>
      </c>
      <c r="J28" s="12" t="str" cm="1">
        <f t="array" ref="J28">IFERROR(_xlfn.XLOOKUP($I28,#REF!,_xlfn.XLOOKUP(J$10,#REF!,#REF!,"",0,1),""),"")</f>
        <v/>
      </c>
      <c r="K28" s="12" t="str" cm="1">
        <f t="array" ref="K28">IFERROR(_xlfn.XLOOKUP($I28,#REF!,_xlfn.XLOOKUP(K$10,#REF!,#REF!,"",0,1),""),"")</f>
        <v/>
      </c>
      <c r="L28" s="12" t="str" cm="1">
        <f t="array" ref="L28">IFERROR(_xlfn.XLOOKUP($I28,#REF!,_xlfn.XLOOKUP(L$10,#REF!,#REF!,"",0,1),""),"")</f>
        <v/>
      </c>
      <c r="M28" s="36" t="str" cm="1">
        <f t="array" ref="M28">IFERROR(_xlfn.XLOOKUP($I28,#REF!,_xlfn.XLOOKUP(M$10,#REF!,#REF!,"",0,1),""),"")</f>
        <v/>
      </c>
      <c r="N28" s="37" t="str" cm="1">
        <f t="array" ref="N28">IFERROR(_xlfn.XLOOKUP($I28,#REF!,_xlfn.XLOOKUP(N$10,#REF!,#REF!,"",0,1),""),"")</f>
        <v/>
      </c>
      <c r="O28" s="12" t="str" cm="1">
        <f t="array" ref="O28">IFERROR(_xlfn.XLOOKUP($I28,#REF!,_xlfn.XLOOKUP(O$10,#REF!,#REF!,"",0,1),""),"")</f>
        <v/>
      </c>
      <c r="P28" s="12" t="str" cm="1">
        <f t="array" ref="P28">IFERROR(_xlfn.XLOOKUP($I28,#REF!,_xlfn.XLOOKUP(P$10,#REF!,#REF!,"",0,1),""),"")</f>
        <v/>
      </c>
      <c r="Q28" s="12" t="str" cm="1">
        <f t="array" ref="Q28">IFERROR(_xlfn.XLOOKUP($I28,#REF!,_xlfn.XLOOKUP(Q$10,#REF!,#REF!,"",0,1),""),"")</f>
        <v/>
      </c>
      <c r="R28" s="12" t="str" cm="1">
        <f t="array" ref="R28">IFERROR(_xlfn.XLOOKUP($I28,#REF!,_xlfn.XLOOKUP(R$10,#REF!,#REF!,"",0,1),""),"")</f>
        <v/>
      </c>
      <c r="S28" s="12" t="str">
        <f>IFERROR(_xlfn.XLOOKUP($I28,#REF!,#REF!,""),"")</f>
        <v/>
      </c>
      <c r="T28" s="12" t="str">
        <f>IFERROR(_xlfn.XLOOKUP($I28,#REF!,#REF!,""),"")</f>
        <v/>
      </c>
      <c r="U28" s="12" t="str">
        <f>IFERROR(_xlfn.XLOOKUP($I28,#REF!,#REF!,""),"")</f>
        <v/>
      </c>
      <c r="V28" s="12" t="str">
        <f>IFERROR(_xlfn.XLOOKUP($I28,#REF!,#REF!,""),"")</f>
        <v/>
      </c>
      <c r="W28" s="74" t="str" cm="1">
        <f t="array" ref="W28">IFERROR(_xlfn.XLOOKUP($I28,#REF!,_xlfn.XLOOKUP(W$10,#REF!,#REF!,"",0,1),""),"")</f>
        <v/>
      </c>
      <c r="X28" s="74" t="str" cm="1">
        <f t="array" ref="X28">IFERROR(_xlfn.XLOOKUP($I28,#REF!,_xlfn.XLOOKUP(X$10,#REF!,#REF!,"",0,1),""),"")</f>
        <v/>
      </c>
      <c r="Y28" s="74" t="str" cm="1">
        <f t="array" ref="Y28">IFERROR(_xlfn.XLOOKUP($I28,#REF!,_xlfn.XLOOKUP(Y$10,#REF!,#REF!,"",0,1),""),"")</f>
        <v/>
      </c>
      <c r="Z28" s="74" t="str" cm="1">
        <f t="array" ref="Z28">IFERROR(_xlfn.XLOOKUP($I28,#REF!,_xlfn.XLOOKUP(Z$10,#REF!,#REF!,"",0,1),""),"")</f>
        <v/>
      </c>
      <c r="AA28" s="74" t="str" cm="1">
        <f t="array" ref="AA28">IFERROR(_xlfn.XLOOKUP($I28,#REF!,_xlfn.XLOOKUP(AA$10,#REF!,#REF!,"",0,1),""),"")</f>
        <v/>
      </c>
      <c r="AB28" s="12" t="str" cm="1">
        <f t="array" ref="AB28">IFERROR(_xlfn.XLOOKUP($I28,#REF!,_xlfn.XLOOKUP(AB$10,#REF!,#REF!,"",0,1),""),"")</f>
        <v/>
      </c>
      <c r="AC28" s="52" t="str" cm="1">
        <f t="array" ref="AC28">IFERROR(_xlfn.XLOOKUP($I28,#REF!,_xlfn.XLOOKUP(AC$10,#REF!,#REF!,"",0,1),""),"")</f>
        <v/>
      </c>
      <c r="AD28" s="12" t="str" cm="1">
        <f t="array" ref="AD28">IFERROR(_xlfn.XLOOKUP($I28,#REF!,_xlfn.XLOOKUP(AD$10,#REF!,#REF!,"",0,1),""),"")</f>
        <v/>
      </c>
      <c r="AE28" s="12"/>
      <c r="AF28" s="12" t="str" cm="1">
        <f t="array" ref="AF28">IFERROR(_xlfn.XLOOKUP($I28,#REF!,_xlfn.XLOOKUP(AF$10,#REF!,#REF!,"",0,1),""),"")</f>
        <v/>
      </c>
      <c r="AG28" s="12" t="str" cm="1">
        <f t="array" ref="AG28">IFERROR(_xlfn.XLOOKUP($I28,#REF!,_xlfn.XLOOKUP(AG$10,#REF!,#REF!,"",0,1),""),"")</f>
        <v/>
      </c>
      <c r="AH28" s="12" t="str" cm="1">
        <f t="array" ref="AH28">IFERROR(_xlfn.XLOOKUP($I28,#REF!,_xlfn.XLOOKUP(AH$10,#REF!,#REF!,"",0,1),""),"")</f>
        <v/>
      </c>
      <c r="AI28" s="12" t="str" cm="1">
        <f t="array" ref="AI28">IFERROR(_xlfn.XLOOKUP($I28,#REF!,_xlfn.XLOOKUP(AI$10,#REF!,#REF!,"",0,1),""),"")</f>
        <v/>
      </c>
      <c r="AJ28" s="12"/>
      <c r="AK28" s="12"/>
      <c r="AL28" s="11" t="str" cm="1">
        <f t="array" ref="AL28">IFERROR(_xlfn.XLOOKUP($I28,#REF!,_xlfn.XLOOKUP(AL$10,#REF!,#REF!,"",0,1),""),"")</f>
        <v/>
      </c>
      <c r="AM28" s="11" t="str" cm="1">
        <f t="array" ref="AM28">IFERROR(_xlfn.XLOOKUP($I28,#REF!,_xlfn.XLOOKUP(AM$10,#REF!,#REF!,"",0,1),""),"")</f>
        <v/>
      </c>
      <c r="AN28" s="11" t="str" cm="1">
        <f t="array" ref="AN28">IFERROR(_xlfn.XLOOKUP($I28,#REF!,_xlfn.XLOOKUP(AN$10,#REF!,#REF!,"",0,1),""),"")</f>
        <v/>
      </c>
      <c r="AO28" s="11" t="str" cm="1">
        <f t="array" ref="AO28">IFERROR(_xlfn.XLOOKUP($I28,#REF!,_xlfn.XLOOKUP(AO$10,#REF!,#REF!,"",0,1),""),"")</f>
        <v/>
      </c>
      <c r="AP28" s="11" t="str" cm="1">
        <f t="array" ref="AP28">IFERROR(_xlfn.XLOOKUP($I28,#REF!,_xlfn.XLOOKUP(AP$10,#REF!,#REF!,"",0,1),""),"")</f>
        <v/>
      </c>
      <c r="AQ28" s="11" t="str" cm="1">
        <f t="array" ref="AQ28">IFERROR(_xlfn.XLOOKUP($I28,#REF!,_xlfn.XLOOKUP(AQ$10,#REF!,#REF!,"",0,1),""),"")</f>
        <v/>
      </c>
      <c r="AR28" s="12" t="str" cm="1">
        <f t="array" ref="AR28">IFERROR(_xlfn.XLOOKUP($I28,#REF!,_xlfn.XLOOKUP(AR$10,#REF!,#REF!,"",0,1),""),"")</f>
        <v/>
      </c>
      <c r="AS28" s="12" t="str" cm="1">
        <f t="array" ref="AS28">IFERROR(_xlfn.XLOOKUP($I28,#REF!,_xlfn.XLOOKUP(AS$10,#REF!,#REF!,"",0,1),""),"")</f>
        <v/>
      </c>
      <c r="AT28" s="12" t="str" cm="1">
        <f t="array" ref="AT28">IFERROR(_xlfn.XLOOKUP($I28,#REF!,_xlfn.XLOOKUP(AT$10,#REF!,#REF!,"",0,1),""),"")</f>
        <v/>
      </c>
      <c r="AU28" s="12" t="str" cm="1">
        <f t="array" ref="AU28">IFERROR(_xlfn.XLOOKUP($I28,#REF!,_xlfn.XLOOKUP(AU$10,#REF!,#REF!,"",0,1),""),"")</f>
        <v/>
      </c>
      <c r="AV28" s="12" t="str" cm="1">
        <f t="array" ref="AV28">IFERROR(_xlfn.XLOOKUP($I28,#REF!,_xlfn.XLOOKUP(AV$10,#REF!,#REF!,"",0,1),""),"")</f>
        <v/>
      </c>
      <c r="AW28" s="12" t="str">
        <f>IFERROR(_xlfn.XLOOKUP($I28,#REF!,#REF!,""),"")</f>
        <v/>
      </c>
      <c r="AX28" s="12" t="str">
        <f>IFERROR(_xlfn.XLOOKUP($I28,#REF!,#REF!,""),"")</f>
        <v/>
      </c>
      <c r="AY28" s="12" t="str">
        <f>IFERROR(_xlfn.XLOOKUP($I28,#REF!,#REF!,""),"")</f>
        <v/>
      </c>
      <c r="AZ28" s="11" t="str" cm="1">
        <f t="array" ref="AZ28">IFERROR(_xlfn.XLOOKUP($I28,#REF!,_xlfn.XLOOKUP(AZ$10,#REF!,#REF!,"",0,1),""),"")</f>
        <v/>
      </c>
      <c r="BA28" s="11" t="str" cm="1">
        <f t="array" ref="BA28">IFERROR(_xlfn.XLOOKUP($I28,#REF!,_xlfn.XLOOKUP(BA$10,#REF!,#REF!,"",0,1),""),"")</f>
        <v/>
      </c>
      <c r="BB28" s="11" t="str">
        <f>IFERROR(_xlfn.XLOOKUP($I28,#REF!,#REF!,""),"")</f>
        <v/>
      </c>
      <c r="BC28" s="11" t="str">
        <f>IFERROR(_xlfn.XLOOKUP($I28,#REF!,#REF!,""),"")</f>
        <v/>
      </c>
      <c r="BD28" s="12" t="str" cm="1">
        <f t="array" ref="BD28">IFERROR(_xlfn.XLOOKUP($I28,#REF!,_xlfn.XLOOKUP(BD$10,#REF!,#REF!,"",0,1),""),"")</f>
        <v/>
      </c>
      <c r="BE28" s="12" t="str" cm="1">
        <f t="array" ref="BE28">IFERROR(_xlfn.XLOOKUP($I28,#REF!,_xlfn.XLOOKUP(BE$10,#REF!,#REF!,"",0,1),""),"")</f>
        <v/>
      </c>
      <c r="BF28" s="12" t="str" cm="1">
        <f t="array" ref="BF28">IFERROR(_xlfn.XLOOKUP($I28,#REF!,_xlfn.XLOOKUP(BF$10,#REF!,#REF!,"",0,1),""),"")</f>
        <v/>
      </c>
      <c r="BG28" s="12" t="str" cm="1">
        <f t="array" ref="BG28">IFERROR(_xlfn.XLOOKUP($I28,#REF!,_xlfn.XLOOKUP(BG$10,#REF!,#REF!,"",0,1),""),"")</f>
        <v/>
      </c>
      <c r="BH28" s="12" t="str" cm="1">
        <f t="array" ref="BH28">IFERROR(_xlfn.XLOOKUP($I28,#REF!,_xlfn.XLOOKUP(BH$10,#REF!,#REF!,"",0,1),""),"")</f>
        <v/>
      </c>
      <c r="BI28" s="12" t="str" cm="1">
        <f t="array" ref="BI28">IFERROR(_xlfn.XLOOKUP($I28,#REF!,_xlfn.XLOOKUP(BI$10,#REF!,#REF!,"",0,1),""),"")</f>
        <v/>
      </c>
      <c r="BJ28" s="12" t="str" cm="1">
        <f t="array" ref="BJ28">IFERROR(_xlfn.XLOOKUP($I28,#REF!,_xlfn.XLOOKUP(BJ$10,#REF!,#REF!,"",0,1),""),"")</f>
        <v/>
      </c>
      <c r="BK28" s="12" t="str" cm="1">
        <f t="array" ref="BK28">IFERROR(_xlfn.XLOOKUP($I28,#REF!,_xlfn.XLOOKUP(BK$10,#REF!,#REF!,"",0,1),""),"")</f>
        <v/>
      </c>
      <c r="BL28" s="12" t="str" cm="1">
        <f t="array" ref="BL28">IFERROR(_xlfn.XLOOKUP($I28,#REF!,_xlfn.XLOOKUP(BL$10,#REF!,#REF!,"",0,1),""),"")</f>
        <v/>
      </c>
      <c r="BM28" s="12" t="str">
        <f>IFERROR(_xlfn.XLOOKUP($I28,#REF!,#REF!,""),"")</f>
        <v/>
      </c>
      <c r="BN28" s="12" t="str">
        <f>IFERROR(_xlfn.XLOOKUP($I28,#REF!,#REF!,""),"")</f>
        <v/>
      </c>
      <c r="BO28" s="12" t="str">
        <f>IFERROR(_xlfn.XLOOKUP($I28,#REF!,#REF!,""),"")</f>
        <v/>
      </c>
      <c r="BP28" s="12" t="str" cm="1">
        <f t="array" ref="BP28">IFERROR(_xlfn.XLOOKUP($I28,#REF!,_xlfn.XLOOKUP(BP$10,#REF!,#REF!,"",0,1),""),"")</f>
        <v/>
      </c>
      <c r="BQ28" s="12" t="str">
        <f>IFERROR(_xlfn.XLOOKUP($I28,#REF!,#REF!,""),"")</f>
        <v/>
      </c>
      <c r="BR28" s="12" t="str">
        <f>IFERROR(_xlfn.XLOOKUP($I28,#REF!,#REF!,""),"")</f>
        <v/>
      </c>
      <c r="BS28" s="12" t="str">
        <f>IFERROR(_xlfn.XLOOKUP($I28,#REF!,#REF!,""),"")</f>
        <v/>
      </c>
      <c r="BT28" s="11" t="str">
        <f>IFERROR(_xlfn.XLOOKUP($I28,#REF!,#REF!,""),"")</f>
        <v/>
      </c>
      <c r="BU28" s="11" t="str">
        <f>IFERROR(_xlfn.XLOOKUP($I28,#REF!,#REF!,""),"")</f>
        <v/>
      </c>
      <c r="BV28" s="32" t="str">
        <f>IFERROR(_xlfn.XLOOKUP($I28,#REF!,#REF!,""),"")</f>
        <v/>
      </c>
      <c r="BW28" s="12" t="str">
        <f>IFERROR(_xlfn.XLOOKUP($I28,#REF!,#REF!,""),"")</f>
        <v/>
      </c>
    </row>
    <row r="29" spans="3:75" ht="69.599999999999994" customHeight="1" x14ac:dyDescent="0.3">
      <c r="C29" s="22" t="str">
        <f>IFERROR(_xlfn.XLOOKUP($I29,#REF!,#REF!,""),"")</f>
        <v/>
      </c>
      <c r="D29" s="19" t="str">
        <f>IFERROR(_xlfn.XLOOKUP($I29,#REF!,#REF!,""),"")</f>
        <v/>
      </c>
      <c r="E29" s="23" t="str">
        <f>IFERROR(_xlfn.XLOOKUP($I29,#REF!,#REF!,""),"")</f>
        <v/>
      </c>
      <c r="F29" s="19" t="str">
        <f>IFERROR(_xlfn.XLOOKUP($I29,#REF!,#REF!,""),"")</f>
        <v/>
      </c>
      <c r="G29" s="19" t="str">
        <f>IFERROR(_xlfn.XLOOKUP($I29,#REF!,#REF!,""),"")</f>
        <v/>
      </c>
      <c r="H29" s="19" t="str">
        <f>IFERROR(_xlfn.XLOOKUP($I29,#REF!,#REF!,""),"")</f>
        <v/>
      </c>
      <c r="I29" s="77">
        <v>3638</v>
      </c>
      <c r="J29" s="12" t="str" cm="1">
        <f t="array" ref="J29">IFERROR(_xlfn.XLOOKUP($I29,#REF!,_xlfn.XLOOKUP(J$10,#REF!,#REF!,"",0,1),""),"")</f>
        <v/>
      </c>
      <c r="K29" s="12" t="str" cm="1">
        <f t="array" ref="K29">IFERROR(_xlfn.XLOOKUP($I29,#REF!,_xlfn.XLOOKUP(K$10,#REF!,#REF!,"",0,1),""),"")</f>
        <v/>
      </c>
      <c r="L29" s="12" t="str" cm="1">
        <f t="array" ref="L29">IFERROR(_xlfn.XLOOKUP($I29,#REF!,_xlfn.XLOOKUP(L$10,#REF!,#REF!,"",0,1),""),"")</f>
        <v/>
      </c>
      <c r="M29" s="36" t="str" cm="1">
        <f t="array" ref="M29">IFERROR(_xlfn.XLOOKUP($I29,#REF!,_xlfn.XLOOKUP(M$10,#REF!,#REF!,"",0,1),""),"")</f>
        <v/>
      </c>
      <c r="N29" s="37" t="str" cm="1">
        <f t="array" ref="N29">IFERROR(_xlfn.XLOOKUP($I29,#REF!,_xlfn.XLOOKUP(N$10,#REF!,#REF!,"",0,1),""),"")</f>
        <v/>
      </c>
      <c r="O29" s="12" t="str" cm="1">
        <f t="array" ref="O29">IFERROR(_xlfn.XLOOKUP($I29,#REF!,_xlfn.XLOOKUP(O$10,#REF!,#REF!,"",0,1),""),"")</f>
        <v/>
      </c>
      <c r="P29" s="12" t="str" cm="1">
        <f t="array" ref="P29">IFERROR(_xlfn.XLOOKUP($I29,#REF!,_xlfn.XLOOKUP(P$10,#REF!,#REF!,"",0,1),""),"")</f>
        <v/>
      </c>
      <c r="Q29" s="12" t="str" cm="1">
        <f t="array" ref="Q29">IFERROR(_xlfn.XLOOKUP($I29,#REF!,_xlfn.XLOOKUP(Q$10,#REF!,#REF!,"",0,1),""),"")</f>
        <v/>
      </c>
      <c r="R29" s="12" t="str" cm="1">
        <f t="array" ref="R29">IFERROR(_xlfn.XLOOKUP($I29,#REF!,_xlfn.XLOOKUP(R$10,#REF!,#REF!,"",0,1),""),"")</f>
        <v/>
      </c>
      <c r="S29" s="12" t="str">
        <f>IFERROR(_xlfn.XLOOKUP($I29,#REF!,#REF!,""),"")</f>
        <v/>
      </c>
      <c r="T29" s="12" t="str">
        <f>IFERROR(_xlfn.XLOOKUP($I29,#REF!,#REF!,""),"")</f>
        <v/>
      </c>
      <c r="U29" s="12" t="str">
        <f>IFERROR(_xlfn.XLOOKUP($I29,#REF!,#REF!,""),"")</f>
        <v/>
      </c>
      <c r="V29" s="12" t="str">
        <f>IFERROR(_xlfn.XLOOKUP($I29,#REF!,#REF!,""),"")</f>
        <v/>
      </c>
      <c r="W29" s="74" t="str" cm="1">
        <f t="array" ref="W29">IFERROR(_xlfn.XLOOKUP($I29,#REF!,_xlfn.XLOOKUP(W$10,#REF!,#REF!,"",0,1),""),"")</f>
        <v/>
      </c>
      <c r="X29" s="74" t="str" cm="1">
        <f t="array" ref="X29">IFERROR(_xlfn.XLOOKUP($I29,#REF!,_xlfn.XLOOKUP(X$10,#REF!,#REF!,"",0,1),""),"")</f>
        <v/>
      </c>
      <c r="Y29" s="74" t="str" cm="1">
        <f t="array" ref="Y29">IFERROR(_xlfn.XLOOKUP($I29,#REF!,_xlfn.XLOOKUP(Y$10,#REF!,#REF!,"",0,1),""),"")</f>
        <v/>
      </c>
      <c r="Z29" s="74" t="str" cm="1">
        <f t="array" ref="Z29">IFERROR(_xlfn.XLOOKUP($I29,#REF!,_xlfn.XLOOKUP(Z$10,#REF!,#REF!,"",0,1),""),"")</f>
        <v/>
      </c>
      <c r="AA29" s="74" t="str" cm="1">
        <f t="array" ref="AA29">IFERROR(_xlfn.XLOOKUP($I29,#REF!,_xlfn.XLOOKUP(AA$10,#REF!,#REF!,"",0,1),""),"")</f>
        <v/>
      </c>
      <c r="AB29" s="12" t="str" cm="1">
        <f t="array" ref="AB29">IFERROR(_xlfn.XLOOKUP($I29,#REF!,_xlfn.XLOOKUP(AB$10,#REF!,#REF!,"",0,1),""),"")</f>
        <v/>
      </c>
      <c r="AC29" s="52" t="str" cm="1">
        <f t="array" ref="AC29">IFERROR(_xlfn.XLOOKUP($I29,#REF!,_xlfn.XLOOKUP(AC$10,#REF!,#REF!,"",0,1),""),"")</f>
        <v/>
      </c>
      <c r="AD29" s="12" t="str" cm="1">
        <f t="array" ref="AD29">IFERROR(_xlfn.XLOOKUP($I29,#REF!,_xlfn.XLOOKUP(AD$10,#REF!,#REF!,"",0,1),""),"")</f>
        <v/>
      </c>
      <c r="AE29" s="12"/>
      <c r="AF29" s="12" t="str" cm="1">
        <f t="array" ref="AF29">IFERROR(_xlfn.XLOOKUP($I29,#REF!,_xlfn.XLOOKUP(AF$10,#REF!,#REF!,"",0,1),""),"")</f>
        <v/>
      </c>
      <c r="AG29" s="12" t="str" cm="1">
        <f t="array" ref="AG29">IFERROR(_xlfn.XLOOKUP($I29,#REF!,_xlfn.XLOOKUP(AG$10,#REF!,#REF!,"",0,1),""),"")</f>
        <v/>
      </c>
      <c r="AH29" s="12" t="str" cm="1">
        <f t="array" ref="AH29">IFERROR(_xlfn.XLOOKUP($I29,#REF!,_xlfn.XLOOKUP(AH$10,#REF!,#REF!,"",0,1),""),"")</f>
        <v/>
      </c>
      <c r="AI29" s="12" t="str" cm="1">
        <f t="array" ref="AI29">IFERROR(_xlfn.XLOOKUP($I29,#REF!,_xlfn.XLOOKUP(AI$10,#REF!,#REF!,"",0,1),""),"")</f>
        <v/>
      </c>
      <c r="AJ29" s="12"/>
      <c r="AK29" s="12"/>
      <c r="AL29" s="11" t="str" cm="1">
        <f t="array" ref="AL29">IFERROR(_xlfn.XLOOKUP($I29,#REF!,_xlfn.XLOOKUP(AL$10,#REF!,#REF!,"",0,1),""),"")</f>
        <v/>
      </c>
      <c r="AM29" s="11" t="str" cm="1">
        <f t="array" ref="AM29">IFERROR(_xlfn.XLOOKUP($I29,#REF!,_xlfn.XLOOKUP(AM$10,#REF!,#REF!,"",0,1),""),"")</f>
        <v/>
      </c>
      <c r="AN29" s="11" t="str" cm="1">
        <f t="array" ref="AN29">IFERROR(_xlfn.XLOOKUP($I29,#REF!,_xlfn.XLOOKUP(AN$10,#REF!,#REF!,"",0,1),""),"")</f>
        <v/>
      </c>
      <c r="AO29" s="11" t="str" cm="1">
        <f t="array" ref="AO29">IFERROR(_xlfn.XLOOKUP($I29,#REF!,_xlfn.XLOOKUP(AO$10,#REF!,#REF!,"",0,1),""),"")</f>
        <v/>
      </c>
      <c r="AP29" s="11" t="str" cm="1">
        <f t="array" ref="AP29">IFERROR(_xlfn.XLOOKUP($I29,#REF!,_xlfn.XLOOKUP(AP$10,#REF!,#REF!,"",0,1),""),"")</f>
        <v/>
      </c>
      <c r="AQ29" s="11" t="str" cm="1">
        <f t="array" ref="AQ29">IFERROR(_xlfn.XLOOKUP($I29,#REF!,_xlfn.XLOOKUP(AQ$10,#REF!,#REF!,"",0,1),""),"")</f>
        <v/>
      </c>
      <c r="AR29" s="12" t="str" cm="1">
        <f t="array" ref="AR29">IFERROR(_xlfn.XLOOKUP($I29,#REF!,_xlfn.XLOOKUP(AR$10,#REF!,#REF!,"",0,1),""),"")</f>
        <v/>
      </c>
      <c r="AS29" s="12" t="str" cm="1">
        <f t="array" ref="AS29">IFERROR(_xlfn.XLOOKUP($I29,#REF!,_xlfn.XLOOKUP(AS$10,#REF!,#REF!,"",0,1),""),"")</f>
        <v/>
      </c>
      <c r="AT29" s="12" t="str" cm="1">
        <f t="array" ref="AT29">IFERROR(_xlfn.XLOOKUP($I29,#REF!,_xlfn.XLOOKUP(AT$10,#REF!,#REF!,"",0,1),""),"")</f>
        <v/>
      </c>
      <c r="AU29" s="12" t="str" cm="1">
        <f t="array" ref="AU29">IFERROR(_xlfn.XLOOKUP($I29,#REF!,_xlfn.XLOOKUP(AU$10,#REF!,#REF!,"",0,1),""),"")</f>
        <v/>
      </c>
      <c r="AV29" s="12" t="str" cm="1">
        <f t="array" ref="AV29">IFERROR(_xlfn.XLOOKUP($I29,#REF!,_xlfn.XLOOKUP(AV$10,#REF!,#REF!,"",0,1),""),"")</f>
        <v/>
      </c>
      <c r="AW29" s="12" t="str">
        <f>IFERROR(_xlfn.XLOOKUP($I29,#REF!,#REF!,""),"")</f>
        <v/>
      </c>
      <c r="AX29" s="12" t="str">
        <f>IFERROR(_xlfn.XLOOKUP($I29,#REF!,#REF!,""),"")</f>
        <v/>
      </c>
      <c r="AY29" s="12" t="str">
        <f>IFERROR(_xlfn.XLOOKUP($I29,#REF!,#REF!,""),"")</f>
        <v/>
      </c>
      <c r="AZ29" s="11" t="str" cm="1">
        <f t="array" ref="AZ29">IFERROR(_xlfn.XLOOKUP($I29,#REF!,_xlfn.XLOOKUP(AZ$10,#REF!,#REF!,"",0,1),""),"")</f>
        <v/>
      </c>
      <c r="BA29" s="11" t="str" cm="1">
        <f t="array" ref="BA29">IFERROR(_xlfn.XLOOKUP($I29,#REF!,_xlfn.XLOOKUP(BA$10,#REF!,#REF!,"",0,1),""),"")</f>
        <v/>
      </c>
      <c r="BB29" s="11" t="str">
        <f>IFERROR(_xlfn.XLOOKUP($I29,#REF!,#REF!,""),"")</f>
        <v/>
      </c>
      <c r="BC29" s="11" t="str">
        <f>IFERROR(_xlfn.XLOOKUP($I29,#REF!,#REF!,""),"")</f>
        <v/>
      </c>
      <c r="BD29" s="12" t="str" cm="1">
        <f t="array" ref="BD29">IFERROR(_xlfn.XLOOKUP($I29,#REF!,_xlfn.XLOOKUP(BD$10,#REF!,#REF!,"",0,1),""),"")</f>
        <v/>
      </c>
      <c r="BE29" s="12" t="str" cm="1">
        <f t="array" ref="BE29">IFERROR(_xlfn.XLOOKUP($I29,#REF!,_xlfn.XLOOKUP(BE$10,#REF!,#REF!,"",0,1),""),"")</f>
        <v/>
      </c>
      <c r="BF29" s="12" t="str" cm="1">
        <f t="array" ref="BF29">IFERROR(_xlfn.XLOOKUP($I29,#REF!,_xlfn.XLOOKUP(BF$10,#REF!,#REF!,"",0,1),""),"")</f>
        <v/>
      </c>
      <c r="BG29" s="12" t="str" cm="1">
        <f t="array" ref="BG29">IFERROR(_xlfn.XLOOKUP($I29,#REF!,_xlfn.XLOOKUP(BG$10,#REF!,#REF!,"",0,1),""),"")</f>
        <v/>
      </c>
      <c r="BH29" s="12" t="str" cm="1">
        <f t="array" ref="BH29">IFERROR(_xlfn.XLOOKUP($I29,#REF!,_xlfn.XLOOKUP(BH$10,#REF!,#REF!,"",0,1),""),"")</f>
        <v/>
      </c>
      <c r="BI29" s="12" t="str" cm="1">
        <f t="array" ref="BI29">IFERROR(_xlfn.XLOOKUP($I29,#REF!,_xlfn.XLOOKUP(BI$10,#REF!,#REF!,"",0,1),""),"")</f>
        <v/>
      </c>
      <c r="BJ29" s="12" t="str" cm="1">
        <f t="array" ref="BJ29">IFERROR(_xlfn.XLOOKUP($I29,#REF!,_xlfn.XLOOKUP(BJ$10,#REF!,#REF!,"",0,1),""),"")</f>
        <v/>
      </c>
      <c r="BK29" s="12" t="str" cm="1">
        <f t="array" ref="BK29">IFERROR(_xlfn.XLOOKUP($I29,#REF!,_xlfn.XLOOKUP(BK$10,#REF!,#REF!,"",0,1),""),"")</f>
        <v/>
      </c>
      <c r="BL29" s="12" t="str" cm="1">
        <f t="array" ref="BL29">IFERROR(_xlfn.XLOOKUP($I29,#REF!,_xlfn.XLOOKUP(BL$10,#REF!,#REF!,"",0,1),""),"")</f>
        <v/>
      </c>
      <c r="BM29" s="12" t="str">
        <f>IFERROR(_xlfn.XLOOKUP($I29,#REF!,#REF!,""),"")</f>
        <v/>
      </c>
      <c r="BN29" s="12" t="str">
        <f>IFERROR(_xlfn.XLOOKUP($I29,#REF!,#REF!,""),"")</f>
        <v/>
      </c>
      <c r="BO29" s="12" t="str">
        <f>IFERROR(_xlfn.XLOOKUP($I29,#REF!,#REF!,""),"")</f>
        <v/>
      </c>
      <c r="BP29" s="12" t="str" cm="1">
        <f t="array" ref="BP29">IFERROR(_xlfn.XLOOKUP($I29,#REF!,_xlfn.XLOOKUP(BP$10,#REF!,#REF!,"",0,1),""),"")</f>
        <v/>
      </c>
      <c r="BQ29" s="12" t="str">
        <f>IFERROR(_xlfn.XLOOKUP($I29,#REF!,#REF!,""),"")</f>
        <v/>
      </c>
      <c r="BR29" s="12" t="str">
        <f>IFERROR(_xlfn.XLOOKUP($I29,#REF!,#REF!,""),"")</f>
        <v/>
      </c>
      <c r="BS29" s="12" t="str">
        <f>IFERROR(_xlfn.XLOOKUP($I29,#REF!,#REF!,""),"")</f>
        <v/>
      </c>
      <c r="BT29" s="11" t="str">
        <f>IFERROR(_xlfn.XLOOKUP($I29,#REF!,#REF!,""),"")</f>
        <v/>
      </c>
      <c r="BU29" s="11" t="str">
        <f>IFERROR(_xlfn.XLOOKUP($I29,#REF!,#REF!,""),"")</f>
        <v/>
      </c>
      <c r="BV29" s="32" t="str">
        <f>IFERROR(_xlfn.XLOOKUP($I29,#REF!,#REF!,""),"")</f>
        <v/>
      </c>
      <c r="BW29" s="12" t="str">
        <f>IFERROR(_xlfn.XLOOKUP($I29,#REF!,#REF!,""),"")</f>
        <v/>
      </c>
    </row>
    <row r="30" spans="3:75" ht="52.35" customHeight="1" x14ac:dyDescent="0.3">
      <c r="C30" s="22" t="str">
        <f>IFERROR(_xlfn.XLOOKUP($I30,#REF!,#REF!,""),"")</f>
        <v/>
      </c>
      <c r="D30" s="19" t="str">
        <f>IFERROR(_xlfn.XLOOKUP($I30,#REF!,#REF!,""),"")</f>
        <v/>
      </c>
      <c r="E30" s="23" t="str">
        <f>IFERROR(_xlfn.XLOOKUP($I30,#REF!,#REF!,""),"")</f>
        <v/>
      </c>
      <c r="F30" s="19" t="str">
        <f>IFERROR(_xlfn.XLOOKUP($I30,#REF!,#REF!,""),"")</f>
        <v/>
      </c>
      <c r="G30" s="19" t="str">
        <f>IFERROR(_xlfn.XLOOKUP($I30,#REF!,#REF!,""),"")</f>
        <v/>
      </c>
      <c r="H30" s="19" t="str">
        <f>IFERROR(_xlfn.XLOOKUP($I30,#REF!,#REF!,""),"")</f>
        <v/>
      </c>
      <c r="I30" s="77">
        <v>111399</v>
      </c>
      <c r="J30" s="12" t="str" cm="1">
        <f t="array" ref="J30">IFERROR(_xlfn.XLOOKUP($I30,#REF!,_xlfn.XLOOKUP(J$10,#REF!,#REF!,"",0,1),""),"")</f>
        <v/>
      </c>
      <c r="K30" s="12" t="str" cm="1">
        <f t="array" ref="K30">IFERROR(_xlfn.XLOOKUP($I30,#REF!,_xlfn.XLOOKUP(K$10,#REF!,#REF!,"",0,1),""),"")</f>
        <v/>
      </c>
      <c r="L30" s="12" t="str" cm="1">
        <f t="array" ref="L30">IFERROR(_xlfn.XLOOKUP($I30,#REF!,_xlfn.XLOOKUP(L$10,#REF!,#REF!,"",0,1),""),"")</f>
        <v/>
      </c>
      <c r="M30" s="36" t="str" cm="1">
        <f t="array" ref="M30">IFERROR(_xlfn.XLOOKUP($I30,#REF!,_xlfn.XLOOKUP(M$10,#REF!,#REF!,"",0,1),""),"")</f>
        <v/>
      </c>
      <c r="N30" s="37" t="str" cm="1">
        <f t="array" ref="N30">IFERROR(_xlfn.XLOOKUP($I30,#REF!,_xlfn.XLOOKUP(N$10,#REF!,#REF!,"",0,1),""),"")</f>
        <v/>
      </c>
      <c r="O30" s="12" t="str" cm="1">
        <f t="array" ref="O30">IFERROR(_xlfn.XLOOKUP($I30,#REF!,_xlfn.XLOOKUP(O$10,#REF!,#REF!,"",0,1),""),"")</f>
        <v/>
      </c>
      <c r="P30" s="12" t="str" cm="1">
        <f t="array" ref="P30">IFERROR(_xlfn.XLOOKUP($I30,#REF!,_xlfn.XLOOKUP(P$10,#REF!,#REF!,"",0,1),""),"")</f>
        <v/>
      </c>
      <c r="Q30" s="12" t="str" cm="1">
        <f t="array" ref="Q30">IFERROR(_xlfn.XLOOKUP($I30,#REF!,_xlfn.XLOOKUP(Q$10,#REF!,#REF!,"",0,1),""),"")</f>
        <v/>
      </c>
      <c r="R30" s="12" t="str" cm="1">
        <f t="array" ref="R30">IFERROR(_xlfn.XLOOKUP($I30,#REF!,_xlfn.XLOOKUP(R$10,#REF!,#REF!,"",0,1),""),"")</f>
        <v/>
      </c>
      <c r="S30" s="12" t="str">
        <f>IFERROR(_xlfn.XLOOKUP($I30,#REF!,#REF!,""),"")</f>
        <v/>
      </c>
      <c r="T30" s="12" t="str">
        <f>IFERROR(_xlfn.XLOOKUP($I30,#REF!,#REF!,""),"")</f>
        <v/>
      </c>
      <c r="U30" s="12" t="str">
        <f>IFERROR(_xlfn.XLOOKUP($I30,#REF!,#REF!,""),"")</f>
        <v/>
      </c>
      <c r="V30" s="12" t="str">
        <f>IFERROR(_xlfn.XLOOKUP($I30,#REF!,#REF!,""),"")</f>
        <v/>
      </c>
      <c r="W30" s="74" t="str" cm="1">
        <f t="array" ref="W30">IFERROR(_xlfn.XLOOKUP($I30,#REF!,_xlfn.XLOOKUP(W$10,#REF!,#REF!,"",0,1),""),"")</f>
        <v/>
      </c>
      <c r="X30" s="74" t="str" cm="1">
        <f t="array" ref="X30">IFERROR(_xlfn.XLOOKUP($I30,#REF!,_xlfn.XLOOKUP(X$10,#REF!,#REF!,"",0,1),""),"")</f>
        <v/>
      </c>
      <c r="Y30" s="74" t="str" cm="1">
        <f t="array" ref="Y30">IFERROR(_xlfn.XLOOKUP($I30,#REF!,_xlfn.XLOOKUP(Y$10,#REF!,#REF!,"",0,1),""),"")</f>
        <v/>
      </c>
      <c r="Z30" s="74" t="str" cm="1">
        <f t="array" ref="Z30">IFERROR(_xlfn.XLOOKUP($I30,#REF!,_xlfn.XLOOKUP(Z$10,#REF!,#REF!,"",0,1),""),"")</f>
        <v/>
      </c>
      <c r="AA30" s="74" t="str" cm="1">
        <f t="array" ref="AA30">IFERROR(_xlfn.XLOOKUP($I30,#REF!,_xlfn.XLOOKUP(AA$10,#REF!,#REF!,"",0,1),""),"")</f>
        <v/>
      </c>
      <c r="AB30" s="12" t="str" cm="1">
        <f t="array" ref="AB30">IFERROR(_xlfn.XLOOKUP($I30,#REF!,_xlfn.XLOOKUP(AB$10,#REF!,#REF!,"",0,1),""),"")</f>
        <v/>
      </c>
      <c r="AC30" s="52" t="str" cm="1">
        <f t="array" ref="AC30">IFERROR(_xlfn.XLOOKUP($I30,#REF!,_xlfn.XLOOKUP(AC$10,#REF!,#REF!,"",0,1),""),"")</f>
        <v/>
      </c>
      <c r="AD30" s="12" t="str" cm="1">
        <f t="array" ref="AD30">IFERROR(_xlfn.XLOOKUP($I30,#REF!,_xlfn.XLOOKUP(AD$10,#REF!,#REF!,"",0,1),""),"")</f>
        <v/>
      </c>
      <c r="AE30" s="12"/>
      <c r="AF30" s="12" t="str" cm="1">
        <f t="array" ref="AF30">IFERROR(_xlfn.XLOOKUP($I30,#REF!,_xlfn.XLOOKUP(AF$10,#REF!,#REF!,"",0,1),""),"")</f>
        <v/>
      </c>
      <c r="AG30" s="12" t="str" cm="1">
        <f t="array" ref="AG30">IFERROR(_xlfn.XLOOKUP($I30,#REF!,_xlfn.XLOOKUP(AG$10,#REF!,#REF!,"",0,1),""),"")</f>
        <v/>
      </c>
      <c r="AH30" s="12" t="str" cm="1">
        <f t="array" ref="AH30">IFERROR(_xlfn.XLOOKUP($I30,#REF!,_xlfn.XLOOKUP(AH$10,#REF!,#REF!,"",0,1),""),"")</f>
        <v/>
      </c>
      <c r="AI30" s="12" t="str" cm="1">
        <f t="array" ref="AI30">IFERROR(_xlfn.XLOOKUP($I30,#REF!,_xlfn.XLOOKUP(AI$10,#REF!,#REF!,"",0,1),""),"")</f>
        <v/>
      </c>
      <c r="AJ30" s="12"/>
      <c r="AK30" s="12"/>
      <c r="AL30" s="11" t="str" cm="1">
        <f t="array" ref="AL30">IFERROR(_xlfn.XLOOKUP($I30,#REF!,_xlfn.XLOOKUP(AL$10,#REF!,#REF!,"",0,1),""),"")</f>
        <v/>
      </c>
      <c r="AM30" s="11" t="str" cm="1">
        <f t="array" ref="AM30">IFERROR(_xlfn.XLOOKUP($I30,#REF!,_xlfn.XLOOKUP(AM$10,#REF!,#REF!,"",0,1),""),"")</f>
        <v/>
      </c>
      <c r="AN30" s="11" t="str" cm="1">
        <f t="array" ref="AN30">IFERROR(_xlfn.XLOOKUP($I30,#REF!,_xlfn.XLOOKUP(AN$10,#REF!,#REF!,"",0,1),""),"")</f>
        <v/>
      </c>
      <c r="AO30" s="11" t="str" cm="1">
        <f t="array" ref="AO30">IFERROR(_xlfn.XLOOKUP($I30,#REF!,_xlfn.XLOOKUP(AO$10,#REF!,#REF!,"",0,1),""),"")</f>
        <v/>
      </c>
      <c r="AP30" s="11" t="str" cm="1">
        <f t="array" ref="AP30">IFERROR(_xlfn.XLOOKUP($I30,#REF!,_xlfn.XLOOKUP(AP$10,#REF!,#REF!,"",0,1),""),"")</f>
        <v/>
      </c>
      <c r="AQ30" s="11" t="str" cm="1">
        <f t="array" ref="AQ30">IFERROR(_xlfn.XLOOKUP($I30,#REF!,_xlfn.XLOOKUP(AQ$10,#REF!,#REF!,"",0,1),""),"")</f>
        <v/>
      </c>
      <c r="AR30" s="12" t="str" cm="1">
        <f t="array" ref="AR30">IFERROR(_xlfn.XLOOKUP($I30,#REF!,_xlfn.XLOOKUP(AR$10,#REF!,#REF!,"",0,1),""),"")</f>
        <v/>
      </c>
      <c r="AS30" s="12" t="str" cm="1">
        <f t="array" ref="AS30">IFERROR(_xlfn.XLOOKUP($I30,#REF!,_xlfn.XLOOKUP(AS$10,#REF!,#REF!,"",0,1),""),"")</f>
        <v/>
      </c>
      <c r="AT30" s="12" t="str" cm="1">
        <f t="array" ref="AT30">IFERROR(_xlfn.XLOOKUP($I30,#REF!,_xlfn.XLOOKUP(AT$10,#REF!,#REF!,"",0,1),""),"")</f>
        <v/>
      </c>
      <c r="AU30" s="12" t="str" cm="1">
        <f t="array" ref="AU30">IFERROR(_xlfn.XLOOKUP($I30,#REF!,_xlfn.XLOOKUP(AU$10,#REF!,#REF!,"",0,1),""),"")</f>
        <v/>
      </c>
      <c r="AV30" s="12" t="str" cm="1">
        <f t="array" ref="AV30">IFERROR(_xlfn.XLOOKUP($I30,#REF!,_xlfn.XLOOKUP(AV$10,#REF!,#REF!,"",0,1),""),"")</f>
        <v/>
      </c>
      <c r="AW30" s="12" t="str">
        <f>IFERROR(_xlfn.XLOOKUP($I30,#REF!,#REF!,""),"")</f>
        <v/>
      </c>
      <c r="AX30" s="12" t="str">
        <f>IFERROR(_xlfn.XLOOKUP($I30,#REF!,#REF!,""),"")</f>
        <v/>
      </c>
      <c r="AY30" s="12" t="str">
        <f>IFERROR(_xlfn.XLOOKUP($I30,#REF!,#REF!,""),"")</f>
        <v/>
      </c>
      <c r="AZ30" s="11" t="str" cm="1">
        <f t="array" ref="AZ30">IFERROR(_xlfn.XLOOKUP($I30,#REF!,_xlfn.XLOOKUP(AZ$10,#REF!,#REF!,"",0,1),""),"")</f>
        <v/>
      </c>
      <c r="BA30" s="11" t="str" cm="1">
        <f t="array" ref="BA30">IFERROR(_xlfn.XLOOKUP($I30,#REF!,_xlfn.XLOOKUP(BA$10,#REF!,#REF!,"",0,1),""),"")</f>
        <v/>
      </c>
      <c r="BB30" s="11" t="str">
        <f>IFERROR(_xlfn.XLOOKUP($I30,#REF!,#REF!,""),"")</f>
        <v/>
      </c>
      <c r="BC30" s="11" t="str">
        <f>IFERROR(_xlfn.XLOOKUP($I30,#REF!,#REF!,""),"")</f>
        <v/>
      </c>
      <c r="BD30" s="12" t="str" cm="1">
        <f t="array" ref="BD30">IFERROR(_xlfn.XLOOKUP($I30,#REF!,_xlfn.XLOOKUP(BD$10,#REF!,#REF!,"",0,1),""),"")</f>
        <v/>
      </c>
      <c r="BE30" s="12" t="str" cm="1">
        <f t="array" ref="BE30">IFERROR(_xlfn.XLOOKUP($I30,#REF!,_xlfn.XLOOKUP(BE$10,#REF!,#REF!,"",0,1),""),"")</f>
        <v/>
      </c>
      <c r="BF30" s="12" t="str" cm="1">
        <f t="array" ref="BF30">IFERROR(_xlfn.XLOOKUP($I30,#REF!,_xlfn.XLOOKUP(BF$10,#REF!,#REF!,"",0,1),""),"")</f>
        <v/>
      </c>
      <c r="BG30" s="12" t="str" cm="1">
        <f t="array" ref="BG30">IFERROR(_xlfn.XLOOKUP($I30,#REF!,_xlfn.XLOOKUP(BG$10,#REF!,#REF!,"",0,1),""),"")</f>
        <v/>
      </c>
      <c r="BH30" s="12" t="str" cm="1">
        <f t="array" ref="BH30">IFERROR(_xlfn.XLOOKUP($I30,#REF!,_xlfn.XLOOKUP(BH$10,#REF!,#REF!,"",0,1),""),"")</f>
        <v/>
      </c>
      <c r="BI30" s="12" t="str" cm="1">
        <f t="array" ref="BI30">IFERROR(_xlfn.XLOOKUP($I30,#REF!,_xlfn.XLOOKUP(BI$10,#REF!,#REF!,"",0,1),""),"")</f>
        <v/>
      </c>
      <c r="BJ30" s="12" t="str" cm="1">
        <f t="array" ref="BJ30">IFERROR(_xlfn.XLOOKUP($I30,#REF!,_xlfn.XLOOKUP(BJ$10,#REF!,#REF!,"",0,1),""),"")</f>
        <v/>
      </c>
      <c r="BK30" s="12" t="str" cm="1">
        <f t="array" ref="BK30">IFERROR(_xlfn.XLOOKUP($I30,#REF!,_xlfn.XLOOKUP(BK$10,#REF!,#REF!,"",0,1),""),"")</f>
        <v/>
      </c>
      <c r="BL30" s="12" t="str" cm="1">
        <f t="array" ref="BL30">IFERROR(_xlfn.XLOOKUP($I30,#REF!,_xlfn.XLOOKUP(BL$10,#REF!,#REF!,"",0,1),""),"")</f>
        <v/>
      </c>
      <c r="BM30" s="12" t="str">
        <f>IFERROR(_xlfn.XLOOKUP($I30,#REF!,#REF!,""),"")</f>
        <v/>
      </c>
      <c r="BN30" s="12" t="str">
        <f>IFERROR(_xlfn.XLOOKUP($I30,#REF!,#REF!,""),"")</f>
        <v/>
      </c>
      <c r="BO30" s="12" t="str">
        <f>IFERROR(_xlfn.XLOOKUP($I30,#REF!,#REF!,""),"")</f>
        <v/>
      </c>
      <c r="BP30" s="12" t="str" cm="1">
        <f t="array" ref="BP30">IFERROR(_xlfn.XLOOKUP($I30,#REF!,_xlfn.XLOOKUP(BP$10,#REF!,#REF!,"",0,1),""),"")</f>
        <v/>
      </c>
      <c r="BQ30" s="12" t="str">
        <f>IFERROR(_xlfn.XLOOKUP($I30,#REF!,#REF!,""),"")</f>
        <v/>
      </c>
      <c r="BR30" s="12" t="str">
        <f>IFERROR(_xlfn.XLOOKUP($I30,#REF!,#REF!,""),"")</f>
        <v/>
      </c>
      <c r="BS30" s="12" t="str">
        <f>IFERROR(_xlfn.XLOOKUP($I30,#REF!,#REF!,""),"")</f>
        <v/>
      </c>
      <c r="BT30" s="11" t="str">
        <f>IFERROR(_xlfn.XLOOKUP($I30,#REF!,#REF!,""),"")</f>
        <v/>
      </c>
      <c r="BU30" s="11" t="str">
        <f>IFERROR(_xlfn.XLOOKUP($I30,#REF!,#REF!,""),"")</f>
        <v/>
      </c>
      <c r="BV30" s="32" t="str">
        <f>IFERROR(_xlfn.XLOOKUP($I30,#REF!,#REF!,""),"")</f>
        <v/>
      </c>
      <c r="BW30" s="12" t="str">
        <f>IFERROR(_xlfn.XLOOKUP($I30,#REF!,#REF!,""),"")</f>
        <v/>
      </c>
    </row>
    <row r="31" spans="3:75" ht="52.35" customHeight="1" x14ac:dyDescent="0.3">
      <c r="C31" s="22" t="str">
        <f>IFERROR(_xlfn.XLOOKUP($I31,#REF!,#REF!,""),"")</f>
        <v/>
      </c>
      <c r="D31" s="19" t="str">
        <f>IFERROR(_xlfn.XLOOKUP($I31,#REF!,#REF!,""),"")</f>
        <v/>
      </c>
      <c r="E31" s="23" t="str">
        <f>IFERROR(_xlfn.XLOOKUP($I31,#REF!,#REF!,""),"")</f>
        <v/>
      </c>
      <c r="F31" s="19" t="str">
        <f>IFERROR(_xlfn.XLOOKUP($I31,#REF!,#REF!,""),"")</f>
        <v/>
      </c>
      <c r="G31" s="19" t="str">
        <f>IFERROR(_xlfn.XLOOKUP($I31,#REF!,#REF!,""),"")</f>
        <v/>
      </c>
      <c r="H31" s="19" t="str">
        <f>IFERROR(_xlfn.XLOOKUP($I31,#REF!,#REF!,""),"")</f>
        <v/>
      </c>
      <c r="I31" s="77">
        <v>111178</v>
      </c>
      <c r="J31" s="12" t="str" cm="1">
        <f t="array" ref="J31">IFERROR(_xlfn.XLOOKUP($I31,#REF!,_xlfn.XLOOKUP(J$10,#REF!,#REF!,"",0,1),""),"")</f>
        <v/>
      </c>
      <c r="K31" s="12" t="str" cm="1">
        <f t="array" ref="K31">IFERROR(_xlfn.XLOOKUP($I31,#REF!,_xlfn.XLOOKUP(K$10,#REF!,#REF!,"",0,1),""),"")</f>
        <v/>
      </c>
      <c r="L31" s="12" t="str" cm="1">
        <f t="array" ref="L31">IFERROR(_xlfn.XLOOKUP($I31,#REF!,_xlfn.XLOOKUP(L$10,#REF!,#REF!,"",0,1),""),"")</f>
        <v/>
      </c>
      <c r="M31" s="36" t="str" cm="1">
        <f t="array" ref="M31">IFERROR(_xlfn.XLOOKUP($I31,#REF!,_xlfn.XLOOKUP(M$10,#REF!,#REF!,"",0,1),""),"")</f>
        <v/>
      </c>
      <c r="N31" s="37" t="str" cm="1">
        <f t="array" ref="N31">IFERROR(_xlfn.XLOOKUP($I31,#REF!,_xlfn.XLOOKUP(N$10,#REF!,#REF!,"",0,1),""),"")</f>
        <v/>
      </c>
      <c r="O31" s="12" t="str" cm="1">
        <f t="array" ref="O31">IFERROR(_xlfn.XLOOKUP($I31,#REF!,_xlfn.XLOOKUP(O$10,#REF!,#REF!,"",0,1),""),"")</f>
        <v/>
      </c>
      <c r="P31" s="12" t="str" cm="1">
        <f t="array" ref="P31">IFERROR(_xlfn.XLOOKUP($I31,#REF!,_xlfn.XLOOKUP(P$10,#REF!,#REF!,"",0,1),""),"")</f>
        <v/>
      </c>
      <c r="Q31" s="12" t="str" cm="1">
        <f t="array" ref="Q31">IFERROR(_xlfn.XLOOKUP($I31,#REF!,_xlfn.XLOOKUP(Q$10,#REF!,#REF!,"",0,1),""),"")</f>
        <v/>
      </c>
      <c r="R31" s="12" t="str" cm="1">
        <f t="array" ref="R31">IFERROR(_xlfn.XLOOKUP($I31,#REF!,_xlfn.XLOOKUP(R$10,#REF!,#REF!,"",0,1),""),"")</f>
        <v/>
      </c>
      <c r="S31" s="12" t="str">
        <f>IFERROR(_xlfn.XLOOKUP($I31,#REF!,#REF!,""),"")</f>
        <v/>
      </c>
      <c r="T31" s="12" t="str">
        <f>IFERROR(_xlfn.XLOOKUP($I31,#REF!,#REF!,""),"")</f>
        <v/>
      </c>
      <c r="U31" s="12" t="str">
        <f>IFERROR(_xlfn.XLOOKUP($I31,#REF!,#REF!,""),"")</f>
        <v/>
      </c>
      <c r="V31" s="12" t="str">
        <f>IFERROR(_xlfn.XLOOKUP($I31,#REF!,#REF!,""),"")</f>
        <v/>
      </c>
      <c r="W31" s="74" t="str" cm="1">
        <f t="array" ref="W31">IFERROR(_xlfn.XLOOKUP($I31,#REF!,_xlfn.XLOOKUP(W$10,#REF!,#REF!,"",0,1),""),"")</f>
        <v/>
      </c>
      <c r="X31" s="74" t="str" cm="1">
        <f t="array" ref="X31">IFERROR(_xlfn.XLOOKUP($I31,#REF!,_xlfn.XLOOKUP(X$10,#REF!,#REF!,"",0,1),""),"")</f>
        <v/>
      </c>
      <c r="Y31" s="74" t="str" cm="1">
        <f t="array" ref="Y31">IFERROR(_xlfn.XLOOKUP($I31,#REF!,_xlfn.XLOOKUP(Y$10,#REF!,#REF!,"",0,1),""),"")</f>
        <v/>
      </c>
      <c r="Z31" s="74" t="str" cm="1">
        <f t="array" ref="Z31">IFERROR(_xlfn.XLOOKUP($I31,#REF!,_xlfn.XLOOKUP(Z$10,#REF!,#REF!,"",0,1),""),"")</f>
        <v/>
      </c>
      <c r="AA31" s="74" t="str" cm="1">
        <f t="array" ref="AA31">IFERROR(_xlfn.XLOOKUP($I31,#REF!,_xlfn.XLOOKUP(AA$10,#REF!,#REF!,"",0,1),""),"")</f>
        <v/>
      </c>
      <c r="AB31" s="12" t="str" cm="1">
        <f t="array" ref="AB31">IFERROR(_xlfn.XLOOKUP($I31,#REF!,_xlfn.XLOOKUP(AB$10,#REF!,#REF!,"",0,1),""),"")</f>
        <v/>
      </c>
      <c r="AC31" s="52" t="str" cm="1">
        <f t="array" ref="AC31">IFERROR(_xlfn.XLOOKUP($I31,#REF!,_xlfn.XLOOKUP(AC$10,#REF!,#REF!,"",0,1),""),"")</f>
        <v/>
      </c>
      <c r="AD31" s="12" t="str" cm="1">
        <f t="array" ref="AD31">IFERROR(_xlfn.XLOOKUP($I31,#REF!,_xlfn.XLOOKUP(AD$10,#REF!,#REF!,"",0,1),""),"")</f>
        <v/>
      </c>
      <c r="AE31" s="12"/>
      <c r="AF31" s="12" t="str" cm="1">
        <f t="array" ref="AF31">IFERROR(_xlfn.XLOOKUP($I31,#REF!,_xlfn.XLOOKUP(AF$10,#REF!,#REF!,"",0,1),""),"")</f>
        <v/>
      </c>
      <c r="AG31" s="12" t="str" cm="1">
        <f t="array" ref="AG31">IFERROR(_xlfn.XLOOKUP($I31,#REF!,_xlfn.XLOOKUP(AG$10,#REF!,#REF!,"",0,1),""),"")</f>
        <v/>
      </c>
      <c r="AH31" s="12" t="str" cm="1">
        <f t="array" ref="AH31">IFERROR(_xlfn.XLOOKUP($I31,#REF!,_xlfn.XLOOKUP(AH$10,#REF!,#REF!,"",0,1),""),"")</f>
        <v/>
      </c>
      <c r="AI31" s="12" t="str" cm="1">
        <f t="array" ref="AI31">IFERROR(_xlfn.XLOOKUP($I31,#REF!,_xlfn.XLOOKUP(AI$10,#REF!,#REF!,"",0,1),""),"")</f>
        <v/>
      </c>
      <c r="AJ31" s="12"/>
      <c r="AK31" s="12"/>
      <c r="AL31" s="11" t="str" cm="1">
        <f t="array" ref="AL31">IFERROR(_xlfn.XLOOKUP($I31,#REF!,_xlfn.XLOOKUP(AL$10,#REF!,#REF!,"",0,1),""),"")</f>
        <v/>
      </c>
      <c r="AM31" s="11" t="str" cm="1">
        <f t="array" ref="AM31">IFERROR(_xlfn.XLOOKUP($I31,#REF!,_xlfn.XLOOKUP(AM$10,#REF!,#REF!,"",0,1),""),"")</f>
        <v/>
      </c>
      <c r="AN31" s="11" t="str" cm="1">
        <f t="array" ref="AN31">IFERROR(_xlfn.XLOOKUP($I31,#REF!,_xlfn.XLOOKUP(AN$10,#REF!,#REF!,"",0,1),""),"")</f>
        <v/>
      </c>
      <c r="AO31" s="11" t="str" cm="1">
        <f t="array" ref="AO31">IFERROR(_xlfn.XLOOKUP($I31,#REF!,_xlfn.XLOOKUP(AO$10,#REF!,#REF!,"",0,1),""),"")</f>
        <v/>
      </c>
      <c r="AP31" s="11" t="str" cm="1">
        <f t="array" ref="AP31">IFERROR(_xlfn.XLOOKUP($I31,#REF!,_xlfn.XLOOKUP(AP$10,#REF!,#REF!,"",0,1),""),"")</f>
        <v/>
      </c>
      <c r="AQ31" s="11" t="str" cm="1">
        <f t="array" ref="AQ31">IFERROR(_xlfn.XLOOKUP($I31,#REF!,_xlfn.XLOOKUP(AQ$10,#REF!,#REF!,"",0,1),""),"")</f>
        <v/>
      </c>
      <c r="AR31" s="12" t="str" cm="1">
        <f t="array" ref="AR31">IFERROR(_xlfn.XLOOKUP($I31,#REF!,_xlfn.XLOOKUP(AR$10,#REF!,#REF!,"",0,1),""),"")</f>
        <v/>
      </c>
      <c r="AS31" s="12" t="str" cm="1">
        <f t="array" ref="AS31">IFERROR(_xlfn.XLOOKUP($I31,#REF!,_xlfn.XLOOKUP(AS$10,#REF!,#REF!,"",0,1),""),"")</f>
        <v/>
      </c>
      <c r="AT31" s="12" t="str" cm="1">
        <f t="array" ref="AT31">IFERROR(_xlfn.XLOOKUP($I31,#REF!,_xlfn.XLOOKUP(AT$10,#REF!,#REF!,"",0,1),""),"")</f>
        <v/>
      </c>
      <c r="AU31" s="12" t="str" cm="1">
        <f t="array" ref="AU31">IFERROR(_xlfn.XLOOKUP($I31,#REF!,_xlfn.XLOOKUP(AU$10,#REF!,#REF!,"",0,1),""),"")</f>
        <v/>
      </c>
      <c r="AV31" s="12" t="str" cm="1">
        <f t="array" ref="AV31">IFERROR(_xlfn.XLOOKUP($I31,#REF!,_xlfn.XLOOKUP(AV$10,#REF!,#REF!,"",0,1),""),"")</f>
        <v/>
      </c>
      <c r="AW31" s="12" t="str">
        <f>IFERROR(_xlfn.XLOOKUP($I31,#REF!,#REF!,""),"")</f>
        <v/>
      </c>
      <c r="AX31" s="12" t="str">
        <f>IFERROR(_xlfn.XLOOKUP($I31,#REF!,#REF!,""),"")</f>
        <v/>
      </c>
      <c r="AY31" s="12" t="str">
        <f>IFERROR(_xlfn.XLOOKUP($I31,#REF!,#REF!,""),"")</f>
        <v/>
      </c>
      <c r="AZ31" s="11" t="str" cm="1">
        <f t="array" ref="AZ31">IFERROR(_xlfn.XLOOKUP($I31,#REF!,_xlfn.XLOOKUP(AZ$10,#REF!,#REF!,"",0,1),""),"")</f>
        <v/>
      </c>
      <c r="BA31" s="11" t="str" cm="1">
        <f t="array" ref="BA31">IFERROR(_xlfn.XLOOKUP($I31,#REF!,_xlfn.XLOOKUP(BA$10,#REF!,#REF!,"",0,1),""),"")</f>
        <v/>
      </c>
      <c r="BB31" s="11" t="str">
        <f>IFERROR(_xlfn.XLOOKUP($I31,#REF!,#REF!,""),"")</f>
        <v/>
      </c>
      <c r="BC31" s="11" t="str">
        <f>IFERROR(_xlfn.XLOOKUP($I31,#REF!,#REF!,""),"")</f>
        <v/>
      </c>
      <c r="BD31" s="12" t="str" cm="1">
        <f t="array" ref="BD31">IFERROR(_xlfn.XLOOKUP($I31,#REF!,_xlfn.XLOOKUP(BD$10,#REF!,#REF!,"",0,1),""),"")</f>
        <v/>
      </c>
      <c r="BE31" s="12" t="str" cm="1">
        <f t="array" ref="BE31">IFERROR(_xlfn.XLOOKUP($I31,#REF!,_xlfn.XLOOKUP(BE$10,#REF!,#REF!,"",0,1),""),"")</f>
        <v/>
      </c>
      <c r="BF31" s="12" t="str" cm="1">
        <f t="array" ref="BF31">IFERROR(_xlfn.XLOOKUP($I31,#REF!,_xlfn.XLOOKUP(BF$10,#REF!,#REF!,"",0,1),""),"")</f>
        <v/>
      </c>
      <c r="BG31" s="12" t="str" cm="1">
        <f t="array" ref="BG31">IFERROR(_xlfn.XLOOKUP($I31,#REF!,_xlfn.XLOOKUP(BG$10,#REF!,#REF!,"",0,1),""),"")</f>
        <v/>
      </c>
      <c r="BH31" s="12" t="str" cm="1">
        <f t="array" ref="BH31">IFERROR(_xlfn.XLOOKUP($I31,#REF!,_xlfn.XLOOKUP(BH$10,#REF!,#REF!,"",0,1),""),"")</f>
        <v/>
      </c>
      <c r="BI31" s="12" t="str" cm="1">
        <f t="array" ref="BI31">IFERROR(_xlfn.XLOOKUP($I31,#REF!,_xlfn.XLOOKUP(BI$10,#REF!,#REF!,"",0,1),""),"")</f>
        <v/>
      </c>
      <c r="BJ31" s="12" t="str" cm="1">
        <f t="array" ref="BJ31">IFERROR(_xlfn.XLOOKUP($I31,#REF!,_xlfn.XLOOKUP(BJ$10,#REF!,#REF!,"",0,1),""),"")</f>
        <v/>
      </c>
      <c r="BK31" s="12" t="str" cm="1">
        <f t="array" ref="BK31">IFERROR(_xlfn.XLOOKUP($I31,#REF!,_xlfn.XLOOKUP(BK$10,#REF!,#REF!,"",0,1),""),"")</f>
        <v/>
      </c>
      <c r="BL31" s="12" t="str" cm="1">
        <f t="array" ref="BL31">IFERROR(_xlfn.XLOOKUP($I31,#REF!,_xlfn.XLOOKUP(BL$10,#REF!,#REF!,"",0,1),""),"")</f>
        <v/>
      </c>
      <c r="BM31" s="12" t="str">
        <f>IFERROR(_xlfn.XLOOKUP($I31,#REF!,#REF!,""),"")</f>
        <v/>
      </c>
      <c r="BN31" s="12" t="str">
        <f>IFERROR(_xlfn.XLOOKUP($I31,#REF!,#REF!,""),"")</f>
        <v/>
      </c>
      <c r="BO31" s="12" t="str">
        <f>IFERROR(_xlfn.XLOOKUP($I31,#REF!,#REF!,""),"")</f>
        <v/>
      </c>
      <c r="BP31" s="12" t="str" cm="1">
        <f t="array" ref="BP31">IFERROR(_xlfn.XLOOKUP($I31,#REF!,_xlfn.XLOOKUP(BP$10,#REF!,#REF!,"",0,1),""),"")</f>
        <v/>
      </c>
      <c r="BQ31" s="12" t="str">
        <f>IFERROR(_xlfn.XLOOKUP($I31,#REF!,#REF!,""),"")</f>
        <v/>
      </c>
      <c r="BR31" s="12" t="str">
        <f>IFERROR(_xlfn.XLOOKUP($I31,#REF!,#REF!,""),"")</f>
        <v/>
      </c>
      <c r="BS31" s="12" t="str">
        <f>IFERROR(_xlfn.XLOOKUP($I31,#REF!,#REF!,""),"")</f>
        <v/>
      </c>
      <c r="BT31" s="11" t="str">
        <f>IFERROR(_xlfn.XLOOKUP($I31,#REF!,#REF!,""),"")</f>
        <v/>
      </c>
      <c r="BU31" s="11" t="str">
        <f>IFERROR(_xlfn.XLOOKUP($I31,#REF!,#REF!,""),"")</f>
        <v/>
      </c>
      <c r="BV31" s="32" t="str">
        <f>IFERROR(_xlfn.XLOOKUP($I31,#REF!,#REF!,""),"")</f>
        <v/>
      </c>
      <c r="BW31" s="12" t="str">
        <f>IFERROR(_xlfn.XLOOKUP($I31,#REF!,#REF!,""),"")</f>
        <v/>
      </c>
    </row>
    <row r="32" spans="3:75" ht="52.35" customHeight="1" x14ac:dyDescent="0.3">
      <c r="C32" s="22" t="str">
        <f>IFERROR(_xlfn.XLOOKUP($I32,#REF!,#REF!,""),"")</f>
        <v/>
      </c>
      <c r="D32" s="19" t="str">
        <f>IFERROR(_xlfn.XLOOKUP($I32,#REF!,#REF!,""),"")</f>
        <v/>
      </c>
      <c r="E32" s="23" t="str">
        <f>IFERROR(_xlfn.XLOOKUP($I32,#REF!,#REF!,""),"")</f>
        <v/>
      </c>
      <c r="F32" s="19" t="str">
        <f>IFERROR(_xlfn.XLOOKUP($I32,#REF!,#REF!,""),"")</f>
        <v/>
      </c>
      <c r="G32" s="19" t="str">
        <f>IFERROR(_xlfn.XLOOKUP($I32,#REF!,#REF!,""),"")</f>
        <v/>
      </c>
      <c r="H32" s="19" t="str">
        <f>IFERROR(_xlfn.XLOOKUP($I32,#REF!,#REF!,""),"")</f>
        <v/>
      </c>
      <c r="I32" s="77">
        <v>1892</v>
      </c>
      <c r="J32" s="12" t="str" cm="1">
        <f t="array" ref="J32">IFERROR(_xlfn.XLOOKUP($I32,#REF!,_xlfn.XLOOKUP(J$10,#REF!,#REF!,"",0,1),""),"")</f>
        <v/>
      </c>
      <c r="K32" s="12" t="str" cm="1">
        <f t="array" ref="K32">IFERROR(_xlfn.XLOOKUP($I32,#REF!,_xlfn.XLOOKUP(K$10,#REF!,#REF!,"",0,1),""),"")</f>
        <v/>
      </c>
      <c r="L32" s="12" t="str" cm="1">
        <f t="array" ref="L32">IFERROR(_xlfn.XLOOKUP($I32,#REF!,_xlfn.XLOOKUP(L$10,#REF!,#REF!,"",0,1),""),"")</f>
        <v/>
      </c>
      <c r="M32" s="36" t="str" cm="1">
        <f t="array" ref="M32">IFERROR(_xlfn.XLOOKUP($I32,#REF!,_xlfn.XLOOKUP(M$10,#REF!,#REF!,"",0,1),""),"")</f>
        <v/>
      </c>
      <c r="N32" s="37" t="str" cm="1">
        <f t="array" ref="N32">IFERROR(_xlfn.XLOOKUP($I32,#REF!,_xlfn.XLOOKUP(N$10,#REF!,#REF!,"",0,1),""),"")</f>
        <v/>
      </c>
      <c r="O32" s="12" t="str" cm="1">
        <f t="array" ref="O32">IFERROR(_xlfn.XLOOKUP($I32,#REF!,_xlfn.XLOOKUP(O$10,#REF!,#REF!,"",0,1),""),"")</f>
        <v/>
      </c>
      <c r="P32" s="12" t="str" cm="1">
        <f t="array" ref="P32">IFERROR(_xlfn.XLOOKUP($I32,#REF!,_xlfn.XLOOKUP(P$10,#REF!,#REF!,"",0,1),""),"")</f>
        <v/>
      </c>
      <c r="Q32" s="12" t="str" cm="1">
        <f t="array" ref="Q32">IFERROR(_xlfn.XLOOKUP($I32,#REF!,_xlfn.XLOOKUP(Q$10,#REF!,#REF!,"",0,1),""),"")</f>
        <v/>
      </c>
      <c r="R32" s="12" t="str" cm="1">
        <f t="array" ref="R32">IFERROR(_xlfn.XLOOKUP($I32,#REF!,_xlfn.XLOOKUP(R$10,#REF!,#REF!,"",0,1),""),"")</f>
        <v/>
      </c>
      <c r="S32" s="12" t="str">
        <f>IFERROR(_xlfn.XLOOKUP($I32,#REF!,#REF!,""),"")</f>
        <v/>
      </c>
      <c r="T32" s="12" t="str">
        <f>IFERROR(_xlfn.XLOOKUP($I32,#REF!,#REF!,""),"")</f>
        <v/>
      </c>
      <c r="U32" s="12" t="str">
        <f>IFERROR(_xlfn.XLOOKUP($I32,#REF!,#REF!,""),"")</f>
        <v/>
      </c>
      <c r="V32" s="12" t="str">
        <f>IFERROR(_xlfn.XLOOKUP($I32,#REF!,#REF!,""),"")</f>
        <v/>
      </c>
      <c r="W32" s="74" t="str" cm="1">
        <f t="array" ref="W32">IFERROR(_xlfn.XLOOKUP($I32,#REF!,_xlfn.XLOOKUP(W$10,#REF!,#REF!,"",0,1),""),"")</f>
        <v/>
      </c>
      <c r="X32" s="74" t="str" cm="1">
        <f t="array" ref="X32">IFERROR(_xlfn.XLOOKUP($I32,#REF!,_xlfn.XLOOKUP(X$10,#REF!,#REF!,"",0,1),""),"")</f>
        <v/>
      </c>
      <c r="Y32" s="74" t="str" cm="1">
        <f t="array" ref="Y32">IFERROR(_xlfn.XLOOKUP($I32,#REF!,_xlfn.XLOOKUP(Y$10,#REF!,#REF!,"",0,1),""),"")</f>
        <v/>
      </c>
      <c r="Z32" s="74" t="str" cm="1">
        <f t="array" ref="Z32">IFERROR(_xlfn.XLOOKUP($I32,#REF!,_xlfn.XLOOKUP(Z$10,#REF!,#REF!,"",0,1),""),"")</f>
        <v/>
      </c>
      <c r="AA32" s="74" t="str" cm="1">
        <f t="array" ref="AA32">IFERROR(_xlfn.XLOOKUP($I32,#REF!,_xlfn.XLOOKUP(AA$10,#REF!,#REF!,"",0,1),""),"")</f>
        <v/>
      </c>
      <c r="AB32" s="12" t="str" cm="1">
        <f t="array" ref="AB32">IFERROR(_xlfn.XLOOKUP($I32,#REF!,_xlfn.XLOOKUP(AB$10,#REF!,#REF!,"",0,1),""),"")</f>
        <v/>
      </c>
      <c r="AC32" s="52" t="str" cm="1">
        <f t="array" ref="AC32">IFERROR(_xlfn.XLOOKUP($I32,#REF!,_xlfn.XLOOKUP(AC$10,#REF!,#REF!,"",0,1),""),"")</f>
        <v/>
      </c>
      <c r="AD32" s="12" t="str" cm="1">
        <f t="array" ref="AD32">IFERROR(_xlfn.XLOOKUP($I32,#REF!,_xlfn.XLOOKUP(AD$10,#REF!,#REF!,"",0,1),""),"")</f>
        <v/>
      </c>
      <c r="AE32" s="12"/>
      <c r="AF32" s="12" t="str" cm="1">
        <f t="array" ref="AF32">IFERROR(_xlfn.XLOOKUP($I32,#REF!,_xlfn.XLOOKUP(AF$10,#REF!,#REF!,"",0,1),""),"")</f>
        <v/>
      </c>
      <c r="AG32" s="12" t="str" cm="1">
        <f t="array" ref="AG32">IFERROR(_xlfn.XLOOKUP($I32,#REF!,_xlfn.XLOOKUP(AG$10,#REF!,#REF!,"",0,1),""),"")</f>
        <v/>
      </c>
      <c r="AH32" s="12" t="str" cm="1">
        <f t="array" ref="AH32">IFERROR(_xlfn.XLOOKUP($I32,#REF!,_xlfn.XLOOKUP(AH$10,#REF!,#REF!,"",0,1),""),"")</f>
        <v/>
      </c>
      <c r="AI32" s="12" t="str" cm="1">
        <f t="array" ref="AI32">IFERROR(_xlfn.XLOOKUP($I32,#REF!,_xlfn.XLOOKUP(AI$10,#REF!,#REF!,"",0,1),""),"")</f>
        <v/>
      </c>
      <c r="AJ32" s="12"/>
      <c r="AK32" s="12"/>
      <c r="AL32" s="11" t="str" cm="1">
        <f t="array" ref="AL32">IFERROR(_xlfn.XLOOKUP($I32,#REF!,_xlfn.XLOOKUP(AL$10,#REF!,#REF!,"",0,1),""),"")</f>
        <v/>
      </c>
      <c r="AM32" s="11" t="str" cm="1">
        <f t="array" ref="AM32">IFERROR(_xlfn.XLOOKUP($I32,#REF!,_xlfn.XLOOKUP(AM$10,#REF!,#REF!,"",0,1),""),"")</f>
        <v/>
      </c>
      <c r="AN32" s="11" t="str" cm="1">
        <f t="array" ref="AN32">IFERROR(_xlfn.XLOOKUP($I32,#REF!,_xlfn.XLOOKUP(AN$10,#REF!,#REF!,"",0,1),""),"")</f>
        <v/>
      </c>
      <c r="AO32" s="11" t="str" cm="1">
        <f t="array" ref="AO32">IFERROR(_xlfn.XLOOKUP($I32,#REF!,_xlfn.XLOOKUP(AO$10,#REF!,#REF!,"",0,1),""),"")</f>
        <v/>
      </c>
      <c r="AP32" s="11" t="str" cm="1">
        <f t="array" ref="AP32">IFERROR(_xlfn.XLOOKUP($I32,#REF!,_xlfn.XLOOKUP(AP$10,#REF!,#REF!,"",0,1),""),"")</f>
        <v/>
      </c>
      <c r="AQ32" s="11" t="str" cm="1">
        <f t="array" ref="AQ32">IFERROR(_xlfn.XLOOKUP($I32,#REF!,_xlfn.XLOOKUP(AQ$10,#REF!,#REF!,"",0,1),""),"")</f>
        <v/>
      </c>
      <c r="AR32" s="12" t="str" cm="1">
        <f t="array" ref="AR32">IFERROR(_xlfn.XLOOKUP($I32,#REF!,_xlfn.XLOOKUP(AR$10,#REF!,#REF!,"",0,1),""),"")</f>
        <v/>
      </c>
      <c r="AS32" s="12" t="str" cm="1">
        <f t="array" ref="AS32">IFERROR(_xlfn.XLOOKUP($I32,#REF!,_xlfn.XLOOKUP(AS$10,#REF!,#REF!,"",0,1),""),"")</f>
        <v/>
      </c>
      <c r="AT32" s="12" t="str" cm="1">
        <f t="array" ref="AT32">IFERROR(_xlfn.XLOOKUP($I32,#REF!,_xlfn.XLOOKUP(AT$10,#REF!,#REF!,"",0,1),""),"")</f>
        <v/>
      </c>
      <c r="AU32" s="12" t="str" cm="1">
        <f t="array" ref="AU32">IFERROR(_xlfn.XLOOKUP($I32,#REF!,_xlfn.XLOOKUP(AU$10,#REF!,#REF!,"",0,1),""),"")</f>
        <v/>
      </c>
      <c r="AV32" s="12" t="str" cm="1">
        <f t="array" ref="AV32">IFERROR(_xlfn.XLOOKUP($I32,#REF!,_xlfn.XLOOKUP(AV$10,#REF!,#REF!,"",0,1),""),"")</f>
        <v/>
      </c>
      <c r="AW32" s="12" t="str">
        <f>IFERROR(_xlfn.XLOOKUP($I32,#REF!,#REF!,""),"")</f>
        <v/>
      </c>
      <c r="AX32" s="12" t="str">
        <f>IFERROR(_xlfn.XLOOKUP($I32,#REF!,#REF!,""),"")</f>
        <v/>
      </c>
      <c r="AY32" s="12" t="str">
        <f>IFERROR(_xlfn.XLOOKUP($I32,#REF!,#REF!,""),"")</f>
        <v/>
      </c>
      <c r="AZ32" s="11" t="str" cm="1">
        <f t="array" ref="AZ32">IFERROR(_xlfn.XLOOKUP($I32,#REF!,_xlfn.XLOOKUP(AZ$10,#REF!,#REF!,"",0,1),""),"")</f>
        <v/>
      </c>
      <c r="BA32" s="11" t="str" cm="1">
        <f t="array" ref="BA32">IFERROR(_xlfn.XLOOKUP($I32,#REF!,_xlfn.XLOOKUP(BA$10,#REF!,#REF!,"",0,1),""),"")</f>
        <v/>
      </c>
      <c r="BB32" s="11" t="str">
        <f>IFERROR(_xlfn.XLOOKUP($I32,#REF!,#REF!,""),"")</f>
        <v/>
      </c>
      <c r="BC32" s="11" t="str">
        <f>IFERROR(_xlfn.XLOOKUP($I32,#REF!,#REF!,""),"")</f>
        <v/>
      </c>
      <c r="BD32" s="12" t="str" cm="1">
        <f t="array" ref="BD32">IFERROR(_xlfn.XLOOKUP($I32,#REF!,_xlfn.XLOOKUP(BD$10,#REF!,#REF!,"",0,1),""),"")</f>
        <v/>
      </c>
      <c r="BE32" s="12" t="str" cm="1">
        <f t="array" ref="BE32">IFERROR(_xlfn.XLOOKUP($I32,#REF!,_xlfn.XLOOKUP(BE$10,#REF!,#REF!,"",0,1),""),"")</f>
        <v/>
      </c>
      <c r="BF32" s="12" t="str" cm="1">
        <f t="array" ref="BF32">IFERROR(_xlfn.XLOOKUP($I32,#REF!,_xlfn.XLOOKUP(BF$10,#REF!,#REF!,"",0,1),""),"")</f>
        <v/>
      </c>
      <c r="BG32" s="12" t="str" cm="1">
        <f t="array" ref="BG32">IFERROR(_xlfn.XLOOKUP($I32,#REF!,_xlfn.XLOOKUP(BG$10,#REF!,#REF!,"",0,1),""),"")</f>
        <v/>
      </c>
      <c r="BH32" s="12" t="str" cm="1">
        <f t="array" ref="BH32">IFERROR(_xlfn.XLOOKUP($I32,#REF!,_xlfn.XLOOKUP(BH$10,#REF!,#REF!,"",0,1),""),"")</f>
        <v/>
      </c>
      <c r="BI32" s="12" t="str" cm="1">
        <f t="array" ref="BI32">IFERROR(_xlfn.XLOOKUP($I32,#REF!,_xlfn.XLOOKUP(BI$10,#REF!,#REF!,"",0,1),""),"")</f>
        <v/>
      </c>
      <c r="BJ32" s="12" t="str" cm="1">
        <f t="array" ref="BJ32">IFERROR(_xlfn.XLOOKUP($I32,#REF!,_xlfn.XLOOKUP(BJ$10,#REF!,#REF!,"",0,1),""),"")</f>
        <v/>
      </c>
      <c r="BK32" s="12" t="str" cm="1">
        <f t="array" ref="BK32">IFERROR(_xlfn.XLOOKUP($I32,#REF!,_xlfn.XLOOKUP(BK$10,#REF!,#REF!,"",0,1),""),"")</f>
        <v/>
      </c>
      <c r="BL32" s="12" t="str" cm="1">
        <f t="array" ref="BL32">IFERROR(_xlfn.XLOOKUP($I32,#REF!,_xlfn.XLOOKUP(BL$10,#REF!,#REF!,"",0,1),""),"")</f>
        <v/>
      </c>
      <c r="BM32" s="12" t="str">
        <f>IFERROR(_xlfn.XLOOKUP($I32,#REF!,#REF!,""),"")</f>
        <v/>
      </c>
      <c r="BN32" s="12" t="str">
        <f>IFERROR(_xlfn.XLOOKUP($I32,#REF!,#REF!,""),"")</f>
        <v/>
      </c>
      <c r="BO32" s="12" t="str">
        <f>IFERROR(_xlfn.XLOOKUP($I32,#REF!,#REF!,""),"")</f>
        <v/>
      </c>
      <c r="BP32" s="12" t="str" cm="1">
        <f t="array" ref="BP32">IFERROR(_xlfn.XLOOKUP($I32,#REF!,_xlfn.XLOOKUP(BP$10,#REF!,#REF!,"",0,1),""),"")</f>
        <v/>
      </c>
      <c r="BQ32" s="12" t="str">
        <f>IFERROR(_xlfn.XLOOKUP($I32,#REF!,#REF!,""),"")</f>
        <v/>
      </c>
      <c r="BR32" s="12" t="str">
        <f>IFERROR(_xlfn.XLOOKUP($I32,#REF!,#REF!,""),"")</f>
        <v/>
      </c>
      <c r="BS32" s="12" t="str">
        <f>IFERROR(_xlfn.XLOOKUP($I32,#REF!,#REF!,""),"")</f>
        <v/>
      </c>
      <c r="BT32" s="11" t="str">
        <f>IFERROR(_xlfn.XLOOKUP($I32,#REF!,#REF!,""),"")</f>
        <v/>
      </c>
      <c r="BU32" s="11" t="str">
        <f>IFERROR(_xlfn.XLOOKUP($I32,#REF!,#REF!,""),"")</f>
        <v/>
      </c>
      <c r="BV32" s="32" t="str">
        <f>IFERROR(_xlfn.XLOOKUP($I32,#REF!,#REF!,""),"")</f>
        <v/>
      </c>
      <c r="BW32" s="12" t="str">
        <f>IFERROR(_xlfn.XLOOKUP($I32,#REF!,#REF!,""),"")</f>
        <v/>
      </c>
    </row>
    <row r="33" spans="3:75" ht="52.35" customHeight="1" x14ac:dyDescent="0.3">
      <c r="C33" s="22" t="str">
        <f>IFERROR(_xlfn.XLOOKUP($I33,#REF!,#REF!,""),"")</f>
        <v/>
      </c>
      <c r="D33" s="19" t="str">
        <f>IFERROR(_xlfn.XLOOKUP($I33,#REF!,#REF!,""),"")</f>
        <v/>
      </c>
      <c r="E33" s="23" t="str">
        <f>IFERROR(_xlfn.XLOOKUP($I33,#REF!,#REF!,""),"")</f>
        <v/>
      </c>
      <c r="F33" s="19" t="str">
        <f>IFERROR(_xlfn.XLOOKUP($I33,#REF!,#REF!,""),"")</f>
        <v/>
      </c>
      <c r="G33" s="19" t="str">
        <f>IFERROR(_xlfn.XLOOKUP($I33,#REF!,#REF!,""),"")</f>
        <v/>
      </c>
      <c r="H33" s="19" t="str">
        <f>IFERROR(_xlfn.XLOOKUP($I33,#REF!,#REF!,""),"")</f>
        <v/>
      </c>
      <c r="I33" s="77">
        <v>107647</v>
      </c>
      <c r="J33" s="12" t="str" cm="1">
        <f t="array" ref="J33">IFERROR(_xlfn.XLOOKUP($I33,#REF!,_xlfn.XLOOKUP(J$10,#REF!,#REF!,"",0,1),""),"")</f>
        <v/>
      </c>
      <c r="K33" s="12" t="str" cm="1">
        <f t="array" ref="K33">IFERROR(_xlfn.XLOOKUP($I33,#REF!,_xlfn.XLOOKUP(K$10,#REF!,#REF!,"",0,1),""),"")</f>
        <v/>
      </c>
      <c r="L33" s="12" t="str" cm="1">
        <f t="array" ref="L33">IFERROR(_xlfn.XLOOKUP($I33,#REF!,_xlfn.XLOOKUP(L$10,#REF!,#REF!,"",0,1),""),"")</f>
        <v/>
      </c>
      <c r="M33" s="36" t="str" cm="1">
        <f t="array" ref="M33">IFERROR(_xlfn.XLOOKUP($I33,#REF!,_xlfn.XLOOKUP(M$10,#REF!,#REF!,"",0,1),""),"")</f>
        <v/>
      </c>
      <c r="N33" s="37" t="str" cm="1">
        <f t="array" ref="N33">IFERROR(_xlfn.XLOOKUP($I33,#REF!,_xlfn.XLOOKUP(N$10,#REF!,#REF!,"",0,1),""),"")</f>
        <v/>
      </c>
      <c r="O33" s="12" t="str" cm="1">
        <f t="array" ref="O33">IFERROR(_xlfn.XLOOKUP($I33,#REF!,_xlfn.XLOOKUP(O$10,#REF!,#REF!,"",0,1),""),"")</f>
        <v/>
      </c>
      <c r="P33" s="12" t="str" cm="1">
        <f t="array" ref="P33">IFERROR(_xlfn.XLOOKUP($I33,#REF!,_xlfn.XLOOKUP(P$10,#REF!,#REF!,"",0,1),""),"")</f>
        <v/>
      </c>
      <c r="Q33" s="12" t="str" cm="1">
        <f t="array" ref="Q33">IFERROR(_xlfn.XLOOKUP($I33,#REF!,_xlfn.XLOOKUP(Q$10,#REF!,#REF!,"",0,1),""),"")</f>
        <v/>
      </c>
      <c r="R33" s="12" t="str" cm="1">
        <f t="array" ref="R33">IFERROR(_xlfn.XLOOKUP($I33,#REF!,_xlfn.XLOOKUP(R$10,#REF!,#REF!,"",0,1),""),"")</f>
        <v/>
      </c>
      <c r="S33" s="12" t="str">
        <f>IFERROR(_xlfn.XLOOKUP($I33,#REF!,#REF!,""),"")</f>
        <v/>
      </c>
      <c r="T33" s="12" t="str">
        <f>IFERROR(_xlfn.XLOOKUP($I33,#REF!,#REF!,""),"")</f>
        <v/>
      </c>
      <c r="U33" s="12" t="str">
        <f>IFERROR(_xlfn.XLOOKUP($I33,#REF!,#REF!,""),"")</f>
        <v/>
      </c>
      <c r="V33" s="12" t="str">
        <f>IFERROR(_xlfn.XLOOKUP($I33,#REF!,#REF!,""),"")</f>
        <v/>
      </c>
      <c r="W33" s="74" t="str" cm="1">
        <f t="array" ref="W33">IFERROR(_xlfn.XLOOKUP($I33,#REF!,_xlfn.XLOOKUP(W$10,#REF!,#REF!,"",0,1),""),"")</f>
        <v/>
      </c>
      <c r="X33" s="74" t="str" cm="1">
        <f t="array" ref="X33">IFERROR(_xlfn.XLOOKUP($I33,#REF!,_xlfn.XLOOKUP(X$10,#REF!,#REF!,"",0,1),""),"")</f>
        <v/>
      </c>
      <c r="Y33" s="74" t="str" cm="1">
        <f t="array" ref="Y33">IFERROR(_xlfn.XLOOKUP($I33,#REF!,_xlfn.XLOOKUP(Y$10,#REF!,#REF!,"",0,1),""),"")</f>
        <v/>
      </c>
      <c r="Z33" s="74" t="str" cm="1">
        <f t="array" ref="Z33">IFERROR(_xlfn.XLOOKUP($I33,#REF!,_xlfn.XLOOKUP(Z$10,#REF!,#REF!,"",0,1),""),"")</f>
        <v/>
      </c>
      <c r="AA33" s="74" t="str" cm="1">
        <f t="array" ref="AA33">IFERROR(_xlfn.XLOOKUP($I33,#REF!,_xlfn.XLOOKUP(AA$10,#REF!,#REF!,"",0,1),""),"")</f>
        <v/>
      </c>
      <c r="AB33" s="12" t="str" cm="1">
        <f t="array" ref="AB33">IFERROR(_xlfn.XLOOKUP($I33,#REF!,_xlfn.XLOOKUP(AB$10,#REF!,#REF!,"",0,1),""),"")</f>
        <v/>
      </c>
      <c r="AC33" s="52" t="str" cm="1">
        <f t="array" ref="AC33">IFERROR(_xlfn.XLOOKUP($I33,#REF!,_xlfn.XLOOKUP(AC$10,#REF!,#REF!,"",0,1),""),"")</f>
        <v/>
      </c>
      <c r="AD33" s="12" t="str" cm="1">
        <f t="array" ref="AD33">IFERROR(_xlfn.XLOOKUP($I33,#REF!,_xlfn.XLOOKUP(AD$10,#REF!,#REF!,"",0,1),""),"")</f>
        <v/>
      </c>
      <c r="AE33" s="12"/>
      <c r="AF33" s="12" t="str" cm="1">
        <f t="array" ref="AF33">IFERROR(_xlfn.XLOOKUP($I33,#REF!,_xlfn.XLOOKUP(AF$10,#REF!,#REF!,"",0,1),""),"")</f>
        <v/>
      </c>
      <c r="AG33" s="12" t="str" cm="1">
        <f t="array" ref="AG33">IFERROR(_xlfn.XLOOKUP($I33,#REF!,_xlfn.XLOOKUP(AG$10,#REF!,#REF!,"",0,1),""),"")</f>
        <v/>
      </c>
      <c r="AH33" s="12" t="str" cm="1">
        <f t="array" ref="AH33">IFERROR(_xlfn.XLOOKUP($I33,#REF!,_xlfn.XLOOKUP(AH$10,#REF!,#REF!,"",0,1),""),"")</f>
        <v/>
      </c>
      <c r="AI33" s="12" t="str" cm="1">
        <f t="array" ref="AI33">IFERROR(_xlfn.XLOOKUP($I33,#REF!,_xlfn.XLOOKUP(AI$10,#REF!,#REF!,"",0,1),""),"")</f>
        <v/>
      </c>
      <c r="AJ33" s="12"/>
      <c r="AK33" s="12"/>
      <c r="AL33" s="11" t="str" cm="1">
        <f t="array" ref="AL33">IFERROR(_xlfn.XLOOKUP($I33,#REF!,_xlfn.XLOOKUP(AL$10,#REF!,#REF!,"",0,1),""),"")</f>
        <v/>
      </c>
      <c r="AM33" s="11" t="str" cm="1">
        <f t="array" ref="AM33">IFERROR(_xlfn.XLOOKUP($I33,#REF!,_xlfn.XLOOKUP(AM$10,#REF!,#REF!,"",0,1),""),"")</f>
        <v/>
      </c>
      <c r="AN33" s="11" t="str" cm="1">
        <f t="array" ref="AN33">IFERROR(_xlfn.XLOOKUP($I33,#REF!,_xlfn.XLOOKUP(AN$10,#REF!,#REF!,"",0,1),""),"")</f>
        <v/>
      </c>
      <c r="AO33" s="11" t="str" cm="1">
        <f t="array" ref="AO33">IFERROR(_xlfn.XLOOKUP($I33,#REF!,_xlfn.XLOOKUP(AO$10,#REF!,#REF!,"",0,1),""),"")</f>
        <v/>
      </c>
      <c r="AP33" s="11" t="str" cm="1">
        <f t="array" ref="AP33">IFERROR(_xlfn.XLOOKUP($I33,#REF!,_xlfn.XLOOKUP(AP$10,#REF!,#REF!,"",0,1),""),"")</f>
        <v/>
      </c>
      <c r="AQ33" s="11" t="str" cm="1">
        <f t="array" ref="AQ33">IFERROR(_xlfn.XLOOKUP($I33,#REF!,_xlfn.XLOOKUP(AQ$10,#REF!,#REF!,"",0,1),""),"")</f>
        <v/>
      </c>
      <c r="AR33" s="12" t="str" cm="1">
        <f t="array" ref="AR33">IFERROR(_xlfn.XLOOKUP($I33,#REF!,_xlfn.XLOOKUP(AR$10,#REF!,#REF!,"",0,1),""),"")</f>
        <v/>
      </c>
      <c r="AS33" s="12" t="str" cm="1">
        <f t="array" ref="AS33">IFERROR(_xlfn.XLOOKUP($I33,#REF!,_xlfn.XLOOKUP(AS$10,#REF!,#REF!,"",0,1),""),"")</f>
        <v/>
      </c>
      <c r="AT33" s="12" t="str" cm="1">
        <f t="array" ref="AT33">IFERROR(_xlfn.XLOOKUP($I33,#REF!,_xlfn.XLOOKUP(AT$10,#REF!,#REF!,"",0,1),""),"")</f>
        <v/>
      </c>
      <c r="AU33" s="12" t="str" cm="1">
        <f t="array" ref="AU33">IFERROR(_xlfn.XLOOKUP($I33,#REF!,_xlfn.XLOOKUP(AU$10,#REF!,#REF!,"",0,1),""),"")</f>
        <v/>
      </c>
      <c r="AV33" s="12" t="str" cm="1">
        <f t="array" ref="AV33">IFERROR(_xlfn.XLOOKUP($I33,#REF!,_xlfn.XLOOKUP(AV$10,#REF!,#REF!,"",0,1),""),"")</f>
        <v/>
      </c>
      <c r="AW33" s="12" t="str">
        <f>IFERROR(_xlfn.XLOOKUP($I33,#REF!,#REF!,""),"")</f>
        <v/>
      </c>
      <c r="AX33" s="12" t="str">
        <f>IFERROR(_xlfn.XLOOKUP($I33,#REF!,#REF!,""),"")</f>
        <v/>
      </c>
      <c r="AY33" s="12" t="str">
        <f>IFERROR(_xlfn.XLOOKUP($I33,#REF!,#REF!,""),"")</f>
        <v/>
      </c>
      <c r="AZ33" s="11" t="str" cm="1">
        <f t="array" ref="AZ33">IFERROR(_xlfn.XLOOKUP($I33,#REF!,_xlfn.XLOOKUP(AZ$10,#REF!,#REF!,"",0,1),""),"")</f>
        <v/>
      </c>
      <c r="BA33" s="11" t="str" cm="1">
        <f t="array" ref="BA33">IFERROR(_xlfn.XLOOKUP($I33,#REF!,_xlfn.XLOOKUP(BA$10,#REF!,#REF!,"",0,1),""),"")</f>
        <v/>
      </c>
      <c r="BB33" s="11" t="str">
        <f>IFERROR(_xlfn.XLOOKUP($I33,#REF!,#REF!,""),"")</f>
        <v/>
      </c>
      <c r="BC33" s="11" t="str">
        <f>IFERROR(_xlfn.XLOOKUP($I33,#REF!,#REF!,""),"")</f>
        <v/>
      </c>
      <c r="BD33" s="12" t="str" cm="1">
        <f t="array" ref="BD33">IFERROR(_xlfn.XLOOKUP($I33,#REF!,_xlfn.XLOOKUP(BD$10,#REF!,#REF!,"",0,1),""),"")</f>
        <v/>
      </c>
      <c r="BE33" s="12" t="str" cm="1">
        <f t="array" ref="BE33">IFERROR(_xlfn.XLOOKUP($I33,#REF!,_xlfn.XLOOKUP(BE$10,#REF!,#REF!,"",0,1),""),"")</f>
        <v/>
      </c>
      <c r="BF33" s="12" t="str" cm="1">
        <f t="array" ref="BF33">IFERROR(_xlfn.XLOOKUP($I33,#REF!,_xlfn.XLOOKUP(BF$10,#REF!,#REF!,"",0,1),""),"")</f>
        <v/>
      </c>
      <c r="BG33" s="12" t="str" cm="1">
        <f t="array" ref="BG33">IFERROR(_xlfn.XLOOKUP($I33,#REF!,_xlfn.XLOOKUP(BG$10,#REF!,#REF!,"",0,1),""),"")</f>
        <v/>
      </c>
      <c r="BH33" s="12" t="str" cm="1">
        <f t="array" ref="BH33">IFERROR(_xlfn.XLOOKUP($I33,#REF!,_xlfn.XLOOKUP(BH$10,#REF!,#REF!,"",0,1),""),"")</f>
        <v/>
      </c>
      <c r="BI33" s="12" t="str" cm="1">
        <f t="array" ref="BI33">IFERROR(_xlfn.XLOOKUP($I33,#REF!,_xlfn.XLOOKUP(BI$10,#REF!,#REF!,"",0,1),""),"")</f>
        <v/>
      </c>
      <c r="BJ33" s="12" t="str" cm="1">
        <f t="array" ref="BJ33">IFERROR(_xlfn.XLOOKUP($I33,#REF!,_xlfn.XLOOKUP(BJ$10,#REF!,#REF!,"",0,1),""),"")</f>
        <v/>
      </c>
      <c r="BK33" s="12" t="str" cm="1">
        <f t="array" ref="BK33">IFERROR(_xlfn.XLOOKUP($I33,#REF!,_xlfn.XLOOKUP(BK$10,#REF!,#REF!,"",0,1),""),"")</f>
        <v/>
      </c>
      <c r="BL33" s="12" t="str" cm="1">
        <f t="array" ref="BL33">IFERROR(_xlfn.XLOOKUP($I33,#REF!,_xlfn.XLOOKUP(BL$10,#REF!,#REF!,"",0,1),""),"")</f>
        <v/>
      </c>
      <c r="BM33" s="12" t="str">
        <f>IFERROR(_xlfn.XLOOKUP($I33,#REF!,#REF!,""),"")</f>
        <v/>
      </c>
      <c r="BN33" s="12" t="str">
        <f>IFERROR(_xlfn.XLOOKUP($I33,#REF!,#REF!,""),"")</f>
        <v/>
      </c>
      <c r="BO33" s="12" t="str">
        <f>IFERROR(_xlfn.XLOOKUP($I33,#REF!,#REF!,""),"")</f>
        <v/>
      </c>
      <c r="BP33" s="12" t="str" cm="1">
        <f t="array" ref="BP33">IFERROR(_xlfn.XLOOKUP($I33,#REF!,_xlfn.XLOOKUP(BP$10,#REF!,#REF!,"",0,1),""),"")</f>
        <v/>
      </c>
      <c r="BQ33" s="12" t="str">
        <f>IFERROR(_xlfn.XLOOKUP($I33,#REF!,#REF!,""),"")</f>
        <v/>
      </c>
      <c r="BR33" s="12" t="str">
        <f>IFERROR(_xlfn.XLOOKUP($I33,#REF!,#REF!,""),"")</f>
        <v/>
      </c>
      <c r="BS33" s="12" t="str">
        <f>IFERROR(_xlfn.XLOOKUP($I33,#REF!,#REF!,""),"")</f>
        <v/>
      </c>
      <c r="BT33" s="11" t="str">
        <f>IFERROR(_xlfn.XLOOKUP($I33,#REF!,#REF!,""),"")</f>
        <v/>
      </c>
      <c r="BU33" s="11" t="str">
        <f>IFERROR(_xlfn.XLOOKUP($I33,#REF!,#REF!,""),"")</f>
        <v/>
      </c>
      <c r="BV33" s="32" t="str">
        <f>IFERROR(_xlfn.XLOOKUP($I33,#REF!,#REF!,""),"")</f>
        <v/>
      </c>
      <c r="BW33" s="12" t="str">
        <f>IFERROR(_xlfn.XLOOKUP($I33,#REF!,#REF!,""),"")</f>
        <v/>
      </c>
    </row>
    <row r="34" spans="3:75" ht="69.599999999999994" customHeight="1" x14ac:dyDescent="0.3">
      <c r="C34" s="22" t="str">
        <f>IFERROR(_xlfn.XLOOKUP($I34,#REF!,#REF!,""),"")</f>
        <v/>
      </c>
      <c r="D34" s="19" t="str">
        <f>IFERROR(_xlfn.XLOOKUP($I34,#REF!,#REF!,""),"")</f>
        <v/>
      </c>
      <c r="E34" s="23" t="str">
        <f>IFERROR(_xlfn.XLOOKUP($I34,#REF!,#REF!,""),"")</f>
        <v/>
      </c>
      <c r="F34" s="19" t="str">
        <f>IFERROR(_xlfn.XLOOKUP($I34,#REF!,#REF!,""),"")</f>
        <v/>
      </c>
      <c r="G34" s="19" t="str">
        <f>IFERROR(_xlfn.XLOOKUP($I34,#REF!,#REF!,""),"")</f>
        <v/>
      </c>
      <c r="H34" s="19" t="str">
        <f>IFERROR(_xlfn.XLOOKUP($I34,#REF!,#REF!,""),"")</f>
        <v/>
      </c>
      <c r="I34" s="77">
        <v>1895</v>
      </c>
      <c r="J34" s="12" t="str" cm="1">
        <f t="array" ref="J34">IFERROR(_xlfn.XLOOKUP($I34,#REF!,_xlfn.XLOOKUP(J$10,#REF!,#REF!,"",0,1),""),"")</f>
        <v/>
      </c>
      <c r="K34" s="12" t="str" cm="1">
        <f t="array" ref="K34">IFERROR(_xlfn.XLOOKUP($I34,#REF!,_xlfn.XLOOKUP(K$10,#REF!,#REF!,"",0,1),""),"")</f>
        <v/>
      </c>
      <c r="L34" s="12" t="str" cm="1">
        <f t="array" ref="L34">IFERROR(_xlfn.XLOOKUP($I34,#REF!,_xlfn.XLOOKUP(L$10,#REF!,#REF!,"",0,1),""),"")</f>
        <v/>
      </c>
      <c r="M34" s="36" t="str" cm="1">
        <f t="array" ref="M34">IFERROR(_xlfn.XLOOKUP($I34,#REF!,_xlfn.XLOOKUP(M$10,#REF!,#REF!,"",0,1),""),"")</f>
        <v/>
      </c>
      <c r="N34" s="37" t="str" cm="1">
        <f t="array" ref="N34">IFERROR(_xlfn.XLOOKUP($I34,#REF!,_xlfn.XLOOKUP(N$10,#REF!,#REF!,"",0,1),""),"")</f>
        <v/>
      </c>
      <c r="O34" s="12" t="str" cm="1">
        <f t="array" ref="O34">IFERROR(_xlfn.XLOOKUP($I34,#REF!,_xlfn.XLOOKUP(O$10,#REF!,#REF!,"",0,1),""),"")</f>
        <v/>
      </c>
      <c r="P34" s="12" t="str" cm="1">
        <f t="array" ref="P34">IFERROR(_xlfn.XLOOKUP($I34,#REF!,_xlfn.XLOOKUP(P$10,#REF!,#REF!,"",0,1),""),"")</f>
        <v/>
      </c>
      <c r="Q34" s="12" t="str" cm="1">
        <f t="array" ref="Q34">IFERROR(_xlfn.XLOOKUP($I34,#REF!,_xlfn.XLOOKUP(Q$10,#REF!,#REF!,"",0,1),""),"")</f>
        <v/>
      </c>
      <c r="R34" s="12" t="str" cm="1">
        <f t="array" ref="R34">IFERROR(_xlfn.XLOOKUP($I34,#REF!,_xlfn.XLOOKUP(R$10,#REF!,#REF!,"",0,1),""),"")</f>
        <v/>
      </c>
      <c r="S34" s="12" t="str">
        <f>IFERROR(_xlfn.XLOOKUP($I34,#REF!,#REF!,""),"")</f>
        <v/>
      </c>
      <c r="T34" s="12" t="str">
        <f>IFERROR(_xlfn.XLOOKUP($I34,#REF!,#REF!,""),"")</f>
        <v/>
      </c>
      <c r="U34" s="12" t="str">
        <f>IFERROR(_xlfn.XLOOKUP($I34,#REF!,#REF!,""),"")</f>
        <v/>
      </c>
      <c r="V34" s="12" t="str">
        <f>IFERROR(_xlfn.XLOOKUP($I34,#REF!,#REF!,""),"")</f>
        <v/>
      </c>
      <c r="W34" s="74" t="str" cm="1">
        <f t="array" ref="W34">IFERROR(_xlfn.XLOOKUP($I34,#REF!,_xlfn.XLOOKUP(W$10,#REF!,#REF!,"",0,1),""),"")</f>
        <v/>
      </c>
      <c r="X34" s="74" t="str" cm="1">
        <f t="array" ref="X34">IFERROR(_xlfn.XLOOKUP($I34,#REF!,_xlfn.XLOOKUP(X$10,#REF!,#REF!,"",0,1),""),"")</f>
        <v/>
      </c>
      <c r="Y34" s="74" t="str" cm="1">
        <f t="array" ref="Y34">IFERROR(_xlfn.XLOOKUP($I34,#REF!,_xlfn.XLOOKUP(Y$10,#REF!,#REF!,"",0,1),""),"")</f>
        <v/>
      </c>
      <c r="Z34" s="74" t="str" cm="1">
        <f t="array" ref="Z34">IFERROR(_xlfn.XLOOKUP($I34,#REF!,_xlfn.XLOOKUP(Z$10,#REF!,#REF!,"",0,1),""),"")</f>
        <v/>
      </c>
      <c r="AA34" s="74" t="str" cm="1">
        <f t="array" ref="AA34">IFERROR(_xlfn.XLOOKUP($I34,#REF!,_xlfn.XLOOKUP(AA$10,#REF!,#REF!,"",0,1),""),"")</f>
        <v/>
      </c>
      <c r="AB34" s="12" t="str" cm="1">
        <f t="array" ref="AB34">IFERROR(_xlfn.XLOOKUP($I34,#REF!,_xlfn.XLOOKUP(AB$10,#REF!,#REF!,"",0,1),""),"")</f>
        <v/>
      </c>
      <c r="AC34" s="52" t="str" cm="1">
        <f t="array" ref="AC34">IFERROR(_xlfn.XLOOKUP($I34,#REF!,_xlfn.XLOOKUP(AC$10,#REF!,#REF!,"",0,1),""),"")</f>
        <v/>
      </c>
      <c r="AD34" s="12" t="str" cm="1">
        <f t="array" ref="AD34">IFERROR(_xlfn.XLOOKUP($I34,#REF!,_xlfn.XLOOKUP(AD$10,#REF!,#REF!,"",0,1),""),"")</f>
        <v/>
      </c>
      <c r="AE34" s="12"/>
      <c r="AF34" s="12" t="str" cm="1">
        <f t="array" ref="AF34">IFERROR(_xlfn.XLOOKUP($I34,#REF!,_xlfn.XLOOKUP(AF$10,#REF!,#REF!,"",0,1),""),"")</f>
        <v/>
      </c>
      <c r="AG34" s="12" t="str" cm="1">
        <f t="array" ref="AG34">IFERROR(_xlfn.XLOOKUP($I34,#REF!,_xlfn.XLOOKUP(AG$10,#REF!,#REF!,"",0,1),""),"")</f>
        <v/>
      </c>
      <c r="AH34" s="12" t="str" cm="1">
        <f t="array" ref="AH34">IFERROR(_xlfn.XLOOKUP($I34,#REF!,_xlfn.XLOOKUP(AH$10,#REF!,#REF!,"",0,1),""),"")</f>
        <v/>
      </c>
      <c r="AI34" s="12" t="str" cm="1">
        <f t="array" ref="AI34">IFERROR(_xlfn.XLOOKUP($I34,#REF!,_xlfn.XLOOKUP(AI$10,#REF!,#REF!,"",0,1),""),"")</f>
        <v/>
      </c>
      <c r="AJ34" s="12"/>
      <c r="AK34" s="12"/>
      <c r="AL34" s="11" t="str" cm="1">
        <f t="array" ref="AL34">IFERROR(_xlfn.XLOOKUP($I34,#REF!,_xlfn.XLOOKUP(AL$10,#REF!,#REF!,"",0,1),""),"")</f>
        <v/>
      </c>
      <c r="AM34" s="11" t="str" cm="1">
        <f t="array" ref="AM34">IFERROR(_xlfn.XLOOKUP($I34,#REF!,_xlfn.XLOOKUP(AM$10,#REF!,#REF!,"",0,1),""),"")</f>
        <v/>
      </c>
      <c r="AN34" s="11" t="str" cm="1">
        <f t="array" ref="AN34">IFERROR(_xlfn.XLOOKUP($I34,#REF!,_xlfn.XLOOKUP(AN$10,#REF!,#REF!,"",0,1),""),"")</f>
        <v/>
      </c>
      <c r="AO34" s="11" t="str" cm="1">
        <f t="array" ref="AO34">IFERROR(_xlfn.XLOOKUP($I34,#REF!,_xlfn.XLOOKUP(AO$10,#REF!,#REF!,"",0,1),""),"")</f>
        <v/>
      </c>
      <c r="AP34" s="11" t="str" cm="1">
        <f t="array" ref="AP34">IFERROR(_xlfn.XLOOKUP($I34,#REF!,_xlfn.XLOOKUP(AP$10,#REF!,#REF!,"",0,1),""),"")</f>
        <v/>
      </c>
      <c r="AQ34" s="11" t="str" cm="1">
        <f t="array" ref="AQ34">IFERROR(_xlfn.XLOOKUP($I34,#REF!,_xlfn.XLOOKUP(AQ$10,#REF!,#REF!,"",0,1),""),"")</f>
        <v/>
      </c>
      <c r="AR34" s="12" t="str" cm="1">
        <f t="array" ref="AR34">IFERROR(_xlfn.XLOOKUP($I34,#REF!,_xlfn.XLOOKUP(AR$10,#REF!,#REF!,"",0,1),""),"")</f>
        <v/>
      </c>
      <c r="AS34" s="12" t="str" cm="1">
        <f t="array" ref="AS34">IFERROR(_xlfn.XLOOKUP($I34,#REF!,_xlfn.XLOOKUP(AS$10,#REF!,#REF!,"",0,1),""),"")</f>
        <v/>
      </c>
      <c r="AT34" s="12" t="str" cm="1">
        <f t="array" ref="AT34">IFERROR(_xlfn.XLOOKUP($I34,#REF!,_xlfn.XLOOKUP(AT$10,#REF!,#REF!,"",0,1),""),"")</f>
        <v/>
      </c>
      <c r="AU34" s="12" t="str" cm="1">
        <f t="array" ref="AU34">IFERROR(_xlfn.XLOOKUP($I34,#REF!,_xlfn.XLOOKUP(AU$10,#REF!,#REF!,"",0,1),""),"")</f>
        <v/>
      </c>
      <c r="AV34" s="12" t="str" cm="1">
        <f t="array" ref="AV34">IFERROR(_xlfn.XLOOKUP($I34,#REF!,_xlfn.XLOOKUP(AV$10,#REF!,#REF!,"",0,1),""),"")</f>
        <v/>
      </c>
      <c r="AW34" s="12" t="str">
        <f>IFERROR(_xlfn.XLOOKUP($I34,#REF!,#REF!,""),"")</f>
        <v/>
      </c>
      <c r="AX34" s="12" t="str">
        <f>IFERROR(_xlfn.XLOOKUP($I34,#REF!,#REF!,""),"")</f>
        <v/>
      </c>
      <c r="AY34" s="12" t="str">
        <f>IFERROR(_xlfn.XLOOKUP($I34,#REF!,#REF!,""),"")</f>
        <v/>
      </c>
      <c r="AZ34" s="11" t="str" cm="1">
        <f t="array" ref="AZ34">IFERROR(_xlfn.XLOOKUP($I34,#REF!,_xlfn.XLOOKUP(AZ$10,#REF!,#REF!,"",0,1),""),"")</f>
        <v/>
      </c>
      <c r="BA34" s="11" t="str" cm="1">
        <f t="array" ref="BA34">IFERROR(_xlfn.XLOOKUP($I34,#REF!,_xlfn.XLOOKUP(BA$10,#REF!,#REF!,"",0,1),""),"")</f>
        <v/>
      </c>
      <c r="BB34" s="11" t="str">
        <f>IFERROR(_xlfn.XLOOKUP($I34,#REF!,#REF!,""),"")</f>
        <v/>
      </c>
      <c r="BC34" s="11" t="str">
        <f>IFERROR(_xlfn.XLOOKUP($I34,#REF!,#REF!,""),"")</f>
        <v/>
      </c>
      <c r="BD34" s="12" t="str" cm="1">
        <f t="array" ref="BD34">IFERROR(_xlfn.XLOOKUP($I34,#REF!,_xlfn.XLOOKUP(BD$10,#REF!,#REF!,"",0,1),""),"")</f>
        <v/>
      </c>
      <c r="BE34" s="12" t="str" cm="1">
        <f t="array" ref="BE34">IFERROR(_xlfn.XLOOKUP($I34,#REF!,_xlfn.XLOOKUP(BE$10,#REF!,#REF!,"",0,1),""),"")</f>
        <v/>
      </c>
      <c r="BF34" s="12" t="str" cm="1">
        <f t="array" ref="BF34">IFERROR(_xlfn.XLOOKUP($I34,#REF!,_xlfn.XLOOKUP(BF$10,#REF!,#REF!,"",0,1),""),"")</f>
        <v/>
      </c>
      <c r="BG34" s="12" t="str" cm="1">
        <f t="array" ref="BG34">IFERROR(_xlfn.XLOOKUP($I34,#REF!,_xlfn.XLOOKUP(BG$10,#REF!,#REF!,"",0,1),""),"")</f>
        <v/>
      </c>
      <c r="BH34" s="12" t="str" cm="1">
        <f t="array" ref="BH34">IFERROR(_xlfn.XLOOKUP($I34,#REF!,_xlfn.XLOOKUP(BH$10,#REF!,#REF!,"",0,1),""),"")</f>
        <v/>
      </c>
      <c r="BI34" s="12" t="str" cm="1">
        <f t="array" ref="BI34">IFERROR(_xlfn.XLOOKUP($I34,#REF!,_xlfn.XLOOKUP(BI$10,#REF!,#REF!,"",0,1),""),"")</f>
        <v/>
      </c>
      <c r="BJ34" s="12" t="str" cm="1">
        <f t="array" ref="BJ34">IFERROR(_xlfn.XLOOKUP($I34,#REF!,_xlfn.XLOOKUP(BJ$10,#REF!,#REF!,"",0,1),""),"")</f>
        <v/>
      </c>
      <c r="BK34" s="12" t="str" cm="1">
        <f t="array" ref="BK34">IFERROR(_xlfn.XLOOKUP($I34,#REF!,_xlfn.XLOOKUP(BK$10,#REF!,#REF!,"",0,1),""),"")</f>
        <v/>
      </c>
      <c r="BL34" s="12" t="str" cm="1">
        <f t="array" ref="BL34">IFERROR(_xlfn.XLOOKUP($I34,#REF!,_xlfn.XLOOKUP(BL$10,#REF!,#REF!,"",0,1),""),"")</f>
        <v/>
      </c>
      <c r="BM34" s="12" t="str">
        <f>IFERROR(_xlfn.XLOOKUP($I34,#REF!,#REF!,""),"")</f>
        <v/>
      </c>
      <c r="BN34" s="12" t="str">
        <f>IFERROR(_xlfn.XLOOKUP($I34,#REF!,#REF!,""),"")</f>
        <v/>
      </c>
      <c r="BO34" s="12" t="str">
        <f>IFERROR(_xlfn.XLOOKUP($I34,#REF!,#REF!,""),"")</f>
        <v/>
      </c>
      <c r="BP34" s="12" t="str" cm="1">
        <f t="array" ref="BP34">IFERROR(_xlfn.XLOOKUP($I34,#REF!,_xlfn.XLOOKUP(BP$10,#REF!,#REF!,"",0,1),""),"")</f>
        <v/>
      </c>
      <c r="BQ34" s="12" t="str">
        <f>IFERROR(_xlfn.XLOOKUP($I34,#REF!,#REF!,""),"")</f>
        <v/>
      </c>
      <c r="BR34" s="12" t="str">
        <f>IFERROR(_xlfn.XLOOKUP($I34,#REF!,#REF!,""),"")</f>
        <v/>
      </c>
      <c r="BS34" s="12" t="str">
        <f>IFERROR(_xlfn.XLOOKUP($I34,#REF!,#REF!,""),"")</f>
        <v/>
      </c>
      <c r="BT34" s="11" t="str">
        <f>IFERROR(_xlfn.XLOOKUP($I34,#REF!,#REF!,""),"")</f>
        <v/>
      </c>
      <c r="BU34" s="11" t="str">
        <f>IFERROR(_xlfn.XLOOKUP($I34,#REF!,#REF!,""),"")</f>
        <v/>
      </c>
      <c r="BV34" s="32" t="str">
        <f>IFERROR(_xlfn.XLOOKUP($I34,#REF!,#REF!,""),"")</f>
        <v/>
      </c>
      <c r="BW34" s="12" t="str">
        <f>IFERROR(_xlfn.XLOOKUP($I34,#REF!,#REF!,""),"")</f>
        <v/>
      </c>
    </row>
    <row r="35" spans="3:75" ht="69.599999999999994" customHeight="1" x14ac:dyDescent="0.3">
      <c r="C35" s="22" t="str">
        <f>IFERROR(_xlfn.XLOOKUP($I35,#REF!,#REF!,""),"")</f>
        <v/>
      </c>
      <c r="D35" s="19" t="str">
        <f>IFERROR(_xlfn.XLOOKUP($I35,#REF!,#REF!,""),"")</f>
        <v/>
      </c>
      <c r="E35" s="23" t="str">
        <f>IFERROR(_xlfn.XLOOKUP($I35,#REF!,#REF!,""),"")</f>
        <v/>
      </c>
      <c r="F35" s="19" t="str">
        <f>IFERROR(_xlfn.XLOOKUP($I35,#REF!,#REF!,""),"")</f>
        <v/>
      </c>
      <c r="G35" s="19" t="str">
        <f>IFERROR(_xlfn.XLOOKUP($I35,#REF!,#REF!,""),"")</f>
        <v/>
      </c>
      <c r="H35" s="19" t="str">
        <f>IFERROR(_xlfn.XLOOKUP($I35,#REF!,#REF!,""),"")</f>
        <v/>
      </c>
      <c r="I35" s="77">
        <v>103090</v>
      </c>
      <c r="J35" s="12" t="str" cm="1">
        <f t="array" ref="J35">IFERROR(_xlfn.XLOOKUP($I35,#REF!,_xlfn.XLOOKUP(J$10,#REF!,#REF!,"",0,1),""),"")</f>
        <v/>
      </c>
      <c r="K35" s="12" t="str" cm="1">
        <f t="array" ref="K35">IFERROR(_xlfn.XLOOKUP($I35,#REF!,_xlfn.XLOOKUP(K$10,#REF!,#REF!,"",0,1),""),"")</f>
        <v/>
      </c>
      <c r="L35" s="12" t="str" cm="1">
        <f t="array" ref="L35">IFERROR(_xlfn.XLOOKUP($I35,#REF!,_xlfn.XLOOKUP(L$10,#REF!,#REF!,"",0,1),""),"")</f>
        <v/>
      </c>
      <c r="M35" s="36" t="str" cm="1">
        <f t="array" ref="M35">IFERROR(_xlfn.XLOOKUP($I35,#REF!,_xlfn.XLOOKUP(M$10,#REF!,#REF!,"",0,1),""),"")</f>
        <v/>
      </c>
      <c r="N35" s="37" t="str" cm="1">
        <f t="array" ref="N35">IFERROR(_xlfn.XLOOKUP($I35,#REF!,_xlfn.XLOOKUP(N$10,#REF!,#REF!,"",0,1),""),"")</f>
        <v/>
      </c>
      <c r="O35" s="12" t="str" cm="1">
        <f t="array" ref="O35">IFERROR(_xlfn.XLOOKUP($I35,#REF!,_xlfn.XLOOKUP(O$10,#REF!,#REF!,"",0,1),""),"")</f>
        <v/>
      </c>
      <c r="P35" s="12" t="str" cm="1">
        <f t="array" ref="P35">IFERROR(_xlfn.XLOOKUP($I35,#REF!,_xlfn.XLOOKUP(P$10,#REF!,#REF!,"",0,1),""),"")</f>
        <v/>
      </c>
      <c r="Q35" s="12" t="str" cm="1">
        <f t="array" ref="Q35">IFERROR(_xlfn.XLOOKUP($I35,#REF!,_xlfn.XLOOKUP(Q$10,#REF!,#REF!,"",0,1),""),"")</f>
        <v/>
      </c>
      <c r="R35" s="12" t="str" cm="1">
        <f t="array" ref="R35">IFERROR(_xlfn.XLOOKUP($I35,#REF!,_xlfn.XLOOKUP(R$10,#REF!,#REF!,"",0,1),""),"")</f>
        <v/>
      </c>
      <c r="S35" s="12" t="str">
        <f>IFERROR(_xlfn.XLOOKUP($I35,#REF!,#REF!,""),"")</f>
        <v/>
      </c>
      <c r="T35" s="12" t="str">
        <f>IFERROR(_xlfn.XLOOKUP($I35,#REF!,#REF!,""),"")</f>
        <v/>
      </c>
      <c r="U35" s="12" t="str">
        <f>IFERROR(_xlfn.XLOOKUP($I35,#REF!,#REF!,""),"")</f>
        <v/>
      </c>
      <c r="V35" s="12" t="str">
        <f>IFERROR(_xlfn.XLOOKUP($I35,#REF!,#REF!,""),"")</f>
        <v/>
      </c>
      <c r="W35" s="74" t="str" cm="1">
        <f t="array" ref="W35">IFERROR(_xlfn.XLOOKUP($I35,#REF!,_xlfn.XLOOKUP(W$10,#REF!,#REF!,"",0,1),""),"")</f>
        <v/>
      </c>
      <c r="X35" s="74" t="str" cm="1">
        <f t="array" ref="X35">IFERROR(_xlfn.XLOOKUP($I35,#REF!,_xlfn.XLOOKUP(X$10,#REF!,#REF!,"",0,1),""),"")</f>
        <v/>
      </c>
      <c r="Y35" s="74" t="str" cm="1">
        <f t="array" ref="Y35">IFERROR(_xlfn.XLOOKUP($I35,#REF!,_xlfn.XLOOKUP(Y$10,#REF!,#REF!,"",0,1),""),"")</f>
        <v/>
      </c>
      <c r="Z35" s="74" t="str" cm="1">
        <f t="array" ref="Z35">IFERROR(_xlfn.XLOOKUP($I35,#REF!,_xlfn.XLOOKUP(Z$10,#REF!,#REF!,"",0,1),""),"")</f>
        <v/>
      </c>
      <c r="AA35" s="74" t="str" cm="1">
        <f t="array" ref="AA35">IFERROR(_xlfn.XLOOKUP($I35,#REF!,_xlfn.XLOOKUP(AA$10,#REF!,#REF!,"",0,1),""),"")</f>
        <v/>
      </c>
      <c r="AB35" s="12" t="str" cm="1">
        <f t="array" ref="AB35">IFERROR(_xlfn.XLOOKUP($I35,#REF!,_xlfn.XLOOKUP(AB$10,#REF!,#REF!,"",0,1),""),"")</f>
        <v/>
      </c>
      <c r="AC35" s="52" t="str" cm="1">
        <f t="array" ref="AC35">IFERROR(_xlfn.XLOOKUP($I35,#REF!,_xlfn.XLOOKUP(AC$10,#REF!,#REF!,"",0,1),""),"")</f>
        <v/>
      </c>
      <c r="AD35" s="12" t="str" cm="1">
        <f t="array" ref="AD35">IFERROR(_xlfn.XLOOKUP($I35,#REF!,_xlfn.XLOOKUP(AD$10,#REF!,#REF!,"",0,1),""),"")</f>
        <v/>
      </c>
      <c r="AE35" s="12"/>
      <c r="AF35" s="12" t="str" cm="1">
        <f t="array" ref="AF35">IFERROR(_xlfn.XLOOKUP($I35,#REF!,_xlfn.XLOOKUP(AF$10,#REF!,#REF!,"",0,1),""),"")</f>
        <v/>
      </c>
      <c r="AG35" s="12" t="str" cm="1">
        <f t="array" ref="AG35">IFERROR(_xlfn.XLOOKUP($I35,#REF!,_xlfn.XLOOKUP(AG$10,#REF!,#REF!,"",0,1),""),"")</f>
        <v/>
      </c>
      <c r="AH35" s="12" t="str" cm="1">
        <f t="array" ref="AH35">IFERROR(_xlfn.XLOOKUP($I35,#REF!,_xlfn.XLOOKUP(AH$10,#REF!,#REF!,"",0,1),""),"")</f>
        <v/>
      </c>
      <c r="AI35" s="12" t="str" cm="1">
        <f t="array" ref="AI35">IFERROR(_xlfn.XLOOKUP($I35,#REF!,_xlfn.XLOOKUP(AI$10,#REF!,#REF!,"",0,1),""),"")</f>
        <v/>
      </c>
      <c r="AJ35" s="12"/>
      <c r="AK35" s="12"/>
      <c r="AL35" s="11" t="str" cm="1">
        <f t="array" ref="AL35">IFERROR(_xlfn.XLOOKUP($I35,#REF!,_xlfn.XLOOKUP(AL$10,#REF!,#REF!,"",0,1),""),"")</f>
        <v/>
      </c>
      <c r="AM35" s="11" t="str" cm="1">
        <f t="array" ref="AM35">IFERROR(_xlfn.XLOOKUP($I35,#REF!,_xlfn.XLOOKUP(AM$10,#REF!,#REF!,"",0,1),""),"")</f>
        <v/>
      </c>
      <c r="AN35" s="11" t="str" cm="1">
        <f t="array" ref="AN35">IFERROR(_xlfn.XLOOKUP($I35,#REF!,_xlfn.XLOOKUP(AN$10,#REF!,#REF!,"",0,1),""),"")</f>
        <v/>
      </c>
      <c r="AO35" s="11" t="str" cm="1">
        <f t="array" ref="AO35">IFERROR(_xlfn.XLOOKUP($I35,#REF!,_xlfn.XLOOKUP(AO$10,#REF!,#REF!,"",0,1),""),"")</f>
        <v/>
      </c>
      <c r="AP35" s="11" t="str" cm="1">
        <f t="array" ref="AP35">IFERROR(_xlfn.XLOOKUP($I35,#REF!,_xlfn.XLOOKUP(AP$10,#REF!,#REF!,"",0,1),""),"")</f>
        <v/>
      </c>
      <c r="AQ35" s="11" t="str" cm="1">
        <f t="array" ref="AQ35">IFERROR(_xlfn.XLOOKUP($I35,#REF!,_xlfn.XLOOKUP(AQ$10,#REF!,#REF!,"",0,1),""),"")</f>
        <v/>
      </c>
      <c r="AR35" s="12" t="str" cm="1">
        <f t="array" ref="AR35">IFERROR(_xlfn.XLOOKUP($I35,#REF!,_xlfn.XLOOKUP(AR$10,#REF!,#REF!,"",0,1),""),"")</f>
        <v/>
      </c>
      <c r="AS35" s="12" t="str" cm="1">
        <f t="array" ref="AS35">IFERROR(_xlfn.XLOOKUP($I35,#REF!,_xlfn.XLOOKUP(AS$10,#REF!,#REF!,"",0,1),""),"")</f>
        <v/>
      </c>
      <c r="AT35" s="12" t="str" cm="1">
        <f t="array" ref="AT35">IFERROR(_xlfn.XLOOKUP($I35,#REF!,_xlfn.XLOOKUP(AT$10,#REF!,#REF!,"",0,1),""),"")</f>
        <v/>
      </c>
      <c r="AU35" s="12" t="str" cm="1">
        <f t="array" ref="AU35">IFERROR(_xlfn.XLOOKUP($I35,#REF!,_xlfn.XLOOKUP(AU$10,#REF!,#REF!,"",0,1),""),"")</f>
        <v/>
      </c>
      <c r="AV35" s="12" t="str" cm="1">
        <f t="array" ref="AV35">IFERROR(_xlfn.XLOOKUP($I35,#REF!,_xlfn.XLOOKUP(AV$10,#REF!,#REF!,"",0,1),""),"")</f>
        <v/>
      </c>
      <c r="AW35" s="12" t="str">
        <f>IFERROR(_xlfn.XLOOKUP($I35,#REF!,#REF!,""),"")</f>
        <v/>
      </c>
      <c r="AX35" s="12" t="str">
        <f>IFERROR(_xlfn.XLOOKUP($I35,#REF!,#REF!,""),"")</f>
        <v/>
      </c>
      <c r="AY35" s="12" t="str">
        <f>IFERROR(_xlfn.XLOOKUP($I35,#REF!,#REF!,""),"")</f>
        <v/>
      </c>
      <c r="AZ35" s="11" t="str" cm="1">
        <f t="array" ref="AZ35">IFERROR(_xlfn.XLOOKUP($I35,#REF!,_xlfn.XLOOKUP(AZ$10,#REF!,#REF!,"",0,1),""),"")</f>
        <v/>
      </c>
      <c r="BA35" s="11" t="str" cm="1">
        <f t="array" ref="BA35">IFERROR(_xlfn.XLOOKUP($I35,#REF!,_xlfn.XLOOKUP(BA$10,#REF!,#REF!,"",0,1),""),"")</f>
        <v/>
      </c>
      <c r="BB35" s="11" t="str">
        <f>IFERROR(_xlfn.XLOOKUP($I35,#REF!,#REF!,""),"")</f>
        <v/>
      </c>
      <c r="BC35" s="11" t="str">
        <f>IFERROR(_xlfn.XLOOKUP($I35,#REF!,#REF!,""),"")</f>
        <v/>
      </c>
      <c r="BD35" s="12" t="str" cm="1">
        <f t="array" ref="BD35">IFERROR(_xlfn.XLOOKUP($I35,#REF!,_xlfn.XLOOKUP(BD$10,#REF!,#REF!,"",0,1),""),"")</f>
        <v/>
      </c>
      <c r="BE35" s="12" t="str" cm="1">
        <f t="array" ref="BE35">IFERROR(_xlfn.XLOOKUP($I35,#REF!,_xlfn.XLOOKUP(BE$10,#REF!,#REF!,"",0,1),""),"")</f>
        <v/>
      </c>
      <c r="BF35" s="12" t="str" cm="1">
        <f t="array" ref="BF35">IFERROR(_xlfn.XLOOKUP($I35,#REF!,_xlfn.XLOOKUP(BF$10,#REF!,#REF!,"",0,1),""),"")</f>
        <v/>
      </c>
      <c r="BG35" s="12" t="str" cm="1">
        <f t="array" ref="BG35">IFERROR(_xlfn.XLOOKUP($I35,#REF!,_xlfn.XLOOKUP(BG$10,#REF!,#REF!,"",0,1),""),"")</f>
        <v/>
      </c>
      <c r="BH35" s="12" t="str" cm="1">
        <f t="array" ref="BH35">IFERROR(_xlfn.XLOOKUP($I35,#REF!,_xlfn.XLOOKUP(BH$10,#REF!,#REF!,"",0,1),""),"")</f>
        <v/>
      </c>
      <c r="BI35" s="12" t="str" cm="1">
        <f t="array" ref="BI35">IFERROR(_xlfn.XLOOKUP($I35,#REF!,_xlfn.XLOOKUP(BI$10,#REF!,#REF!,"",0,1),""),"")</f>
        <v/>
      </c>
      <c r="BJ35" s="12" t="str" cm="1">
        <f t="array" ref="BJ35">IFERROR(_xlfn.XLOOKUP($I35,#REF!,_xlfn.XLOOKUP(BJ$10,#REF!,#REF!,"",0,1),""),"")</f>
        <v/>
      </c>
      <c r="BK35" s="12" t="str" cm="1">
        <f t="array" ref="BK35">IFERROR(_xlfn.XLOOKUP($I35,#REF!,_xlfn.XLOOKUP(BK$10,#REF!,#REF!,"",0,1),""),"")</f>
        <v/>
      </c>
      <c r="BL35" s="12" t="str" cm="1">
        <f t="array" ref="BL35">IFERROR(_xlfn.XLOOKUP($I35,#REF!,_xlfn.XLOOKUP(BL$10,#REF!,#REF!,"",0,1),""),"")</f>
        <v/>
      </c>
      <c r="BM35" s="12" t="str">
        <f>IFERROR(_xlfn.XLOOKUP($I35,#REF!,#REF!,""),"")</f>
        <v/>
      </c>
      <c r="BN35" s="12" t="str">
        <f>IFERROR(_xlfn.XLOOKUP($I35,#REF!,#REF!,""),"")</f>
        <v/>
      </c>
      <c r="BO35" s="12" t="str">
        <f>IFERROR(_xlfn.XLOOKUP($I35,#REF!,#REF!,""),"")</f>
        <v/>
      </c>
      <c r="BP35" s="12" t="str" cm="1">
        <f t="array" ref="BP35">IFERROR(_xlfn.XLOOKUP($I35,#REF!,_xlfn.XLOOKUP(BP$10,#REF!,#REF!,"",0,1),""),"")</f>
        <v/>
      </c>
      <c r="BQ35" s="12" t="str">
        <f>IFERROR(_xlfn.XLOOKUP($I35,#REF!,#REF!,""),"")</f>
        <v/>
      </c>
      <c r="BR35" s="12" t="str">
        <f>IFERROR(_xlfn.XLOOKUP($I35,#REF!,#REF!,""),"")</f>
        <v/>
      </c>
      <c r="BS35" s="12" t="str">
        <f>IFERROR(_xlfn.XLOOKUP($I35,#REF!,#REF!,""),"")</f>
        <v/>
      </c>
      <c r="BT35" s="11" t="str">
        <f>IFERROR(_xlfn.XLOOKUP($I35,#REF!,#REF!,""),"")</f>
        <v/>
      </c>
      <c r="BU35" s="11" t="str">
        <f>IFERROR(_xlfn.XLOOKUP($I35,#REF!,#REF!,""),"")</f>
        <v/>
      </c>
      <c r="BV35" s="32" t="str">
        <f>IFERROR(_xlfn.XLOOKUP($I35,#REF!,#REF!,""),"")</f>
        <v/>
      </c>
      <c r="BW35" s="12" t="str">
        <f>IFERROR(_xlfn.XLOOKUP($I35,#REF!,#REF!,""),"")</f>
        <v/>
      </c>
    </row>
    <row r="36" spans="3:75" ht="52.35" customHeight="1" x14ac:dyDescent="0.3">
      <c r="C36" s="22" t="str">
        <f>IFERROR(_xlfn.XLOOKUP($I36,#REF!,#REF!,""),"")</f>
        <v/>
      </c>
      <c r="D36" s="19" t="str">
        <f>IFERROR(_xlfn.XLOOKUP($I36,#REF!,#REF!,""),"")</f>
        <v/>
      </c>
      <c r="E36" s="23" t="str">
        <f>IFERROR(_xlfn.XLOOKUP($I36,#REF!,#REF!,""),"")</f>
        <v/>
      </c>
      <c r="F36" s="19" t="str">
        <f>IFERROR(_xlfn.XLOOKUP($I36,#REF!,#REF!,""),"")</f>
        <v/>
      </c>
      <c r="G36" s="19" t="str">
        <f>IFERROR(_xlfn.XLOOKUP($I36,#REF!,#REF!,""),"")</f>
        <v/>
      </c>
      <c r="H36" s="19" t="str">
        <f>IFERROR(_xlfn.XLOOKUP($I36,#REF!,#REF!,""),"")</f>
        <v/>
      </c>
      <c r="I36" s="77">
        <v>102847</v>
      </c>
      <c r="J36" s="12" t="str" cm="1">
        <f t="array" ref="J36">IFERROR(_xlfn.XLOOKUP($I36,#REF!,_xlfn.XLOOKUP(J$10,#REF!,#REF!,"",0,1),""),"")</f>
        <v/>
      </c>
      <c r="K36" s="12" t="str" cm="1">
        <f t="array" ref="K36">IFERROR(_xlfn.XLOOKUP($I36,#REF!,_xlfn.XLOOKUP(K$10,#REF!,#REF!,"",0,1),""),"")</f>
        <v/>
      </c>
      <c r="L36" s="12" t="str" cm="1">
        <f t="array" ref="L36">IFERROR(_xlfn.XLOOKUP($I36,#REF!,_xlfn.XLOOKUP(L$10,#REF!,#REF!,"",0,1),""),"")</f>
        <v/>
      </c>
      <c r="M36" s="36" t="str" cm="1">
        <f t="array" ref="M36">IFERROR(_xlfn.XLOOKUP($I36,#REF!,_xlfn.XLOOKUP(M$10,#REF!,#REF!,"",0,1),""),"")</f>
        <v/>
      </c>
      <c r="N36" s="37" t="str" cm="1">
        <f t="array" ref="N36">IFERROR(_xlfn.XLOOKUP($I36,#REF!,_xlfn.XLOOKUP(N$10,#REF!,#REF!,"",0,1),""),"")</f>
        <v/>
      </c>
      <c r="O36" s="12" t="str" cm="1">
        <f t="array" ref="O36">IFERROR(_xlfn.XLOOKUP($I36,#REF!,_xlfn.XLOOKUP(O$10,#REF!,#REF!,"",0,1),""),"")</f>
        <v/>
      </c>
      <c r="P36" s="12" t="str" cm="1">
        <f t="array" ref="P36">IFERROR(_xlfn.XLOOKUP($I36,#REF!,_xlfn.XLOOKUP(P$10,#REF!,#REF!,"",0,1),""),"")</f>
        <v/>
      </c>
      <c r="Q36" s="12" t="str" cm="1">
        <f t="array" ref="Q36">IFERROR(_xlfn.XLOOKUP($I36,#REF!,_xlfn.XLOOKUP(Q$10,#REF!,#REF!,"",0,1),""),"")</f>
        <v/>
      </c>
      <c r="R36" s="12" t="str" cm="1">
        <f t="array" ref="R36">IFERROR(_xlfn.XLOOKUP($I36,#REF!,_xlfn.XLOOKUP(R$10,#REF!,#REF!,"",0,1),""),"")</f>
        <v/>
      </c>
      <c r="S36" s="12" t="str">
        <f>IFERROR(_xlfn.XLOOKUP($I36,#REF!,#REF!,""),"")</f>
        <v/>
      </c>
      <c r="T36" s="12" t="str">
        <f>IFERROR(_xlfn.XLOOKUP($I36,#REF!,#REF!,""),"")</f>
        <v/>
      </c>
      <c r="U36" s="12" t="str">
        <f>IFERROR(_xlfn.XLOOKUP($I36,#REF!,#REF!,""),"")</f>
        <v/>
      </c>
      <c r="V36" s="12" t="str">
        <f>IFERROR(_xlfn.XLOOKUP($I36,#REF!,#REF!,""),"")</f>
        <v/>
      </c>
      <c r="W36" s="74" t="str" cm="1">
        <f t="array" ref="W36">IFERROR(_xlfn.XLOOKUP($I36,#REF!,_xlfn.XLOOKUP(W$10,#REF!,#REF!,"",0,1),""),"")</f>
        <v/>
      </c>
      <c r="X36" s="74" t="str" cm="1">
        <f t="array" ref="X36">IFERROR(_xlfn.XLOOKUP($I36,#REF!,_xlfn.XLOOKUP(X$10,#REF!,#REF!,"",0,1),""),"")</f>
        <v/>
      </c>
      <c r="Y36" s="74" t="str" cm="1">
        <f t="array" ref="Y36">IFERROR(_xlfn.XLOOKUP($I36,#REF!,_xlfn.XLOOKUP(Y$10,#REF!,#REF!,"",0,1),""),"")</f>
        <v/>
      </c>
      <c r="Z36" s="74" t="str" cm="1">
        <f t="array" ref="Z36">IFERROR(_xlfn.XLOOKUP($I36,#REF!,_xlfn.XLOOKUP(Z$10,#REF!,#REF!,"",0,1),""),"")</f>
        <v/>
      </c>
      <c r="AA36" s="74" t="str" cm="1">
        <f t="array" ref="AA36">IFERROR(_xlfn.XLOOKUP($I36,#REF!,_xlfn.XLOOKUP(AA$10,#REF!,#REF!,"",0,1),""),"")</f>
        <v/>
      </c>
      <c r="AB36" s="12" t="str" cm="1">
        <f t="array" ref="AB36">IFERROR(_xlfn.XLOOKUP($I36,#REF!,_xlfn.XLOOKUP(AB$10,#REF!,#REF!,"",0,1),""),"")</f>
        <v/>
      </c>
      <c r="AC36" s="52" t="str" cm="1">
        <f t="array" ref="AC36">IFERROR(_xlfn.XLOOKUP($I36,#REF!,_xlfn.XLOOKUP(AC$10,#REF!,#REF!,"",0,1),""),"")</f>
        <v/>
      </c>
      <c r="AD36" s="12" t="str" cm="1">
        <f t="array" ref="AD36">IFERROR(_xlfn.XLOOKUP($I36,#REF!,_xlfn.XLOOKUP(AD$10,#REF!,#REF!,"",0,1),""),"")</f>
        <v/>
      </c>
      <c r="AE36" s="12"/>
      <c r="AF36" s="12" t="str" cm="1">
        <f t="array" ref="AF36">IFERROR(_xlfn.XLOOKUP($I36,#REF!,_xlfn.XLOOKUP(AF$10,#REF!,#REF!,"",0,1),""),"")</f>
        <v/>
      </c>
      <c r="AG36" s="12" t="str" cm="1">
        <f t="array" ref="AG36">IFERROR(_xlfn.XLOOKUP($I36,#REF!,_xlfn.XLOOKUP(AG$10,#REF!,#REF!,"",0,1),""),"")</f>
        <v/>
      </c>
      <c r="AH36" s="12" t="str" cm="1">
        <f t="array" ref="AH36">IFERROR(_xlfn.XLOOKUP($I36,#REF!,_xlfn.XLOOKUP(AH$10,#REF!,#REF!,"",0,1),""),"")</f>
        <v/>
      </c>
      <c r="AI36" s="12" t="str" cm="1">
        <f t="array" ref="AI36">IFERROR(_xlfn.XLOOKUP($I36,#REF!,_xlfn.XLOOKUP(AI$10,#REF!,#REF!,"",0,1),""),"")</f>
        <v/>
      </c>
      <c r="AJ36" s="12"/>
      <c r="AK36" s="12"/>
      <c r="AL36" s="11" t="str" cm="1">
        <f t="array" ref="AL36">IFERROR(_xlfn.XLOOKUP($I36,#REF!,_xlfn.XLOOKUP(AL$10,#REF!,#REF!,"",0,1),""),"")</f>
        <v/>
      </c>
      <c r="AM36" s="11" t="str" cm="1">
        <f t="array" ref="AM36">IFERROR(_xlfn.XLOOKUP($I36,#REF!,_xlfn.XLOOKUP(AM$10,#REF!,#REF!,"",0,1),""),"")</f>
        <v/>
      </c>
      <c r="AN36" s="11" t="str" cm="1">
        <f t="array" ref="AN36">IFERROR(_xlfn.XLOOKUP($I36,#REF!,_xlfn.XLOOKUP(AN$10,#REF!,#REF!,"",0,1),""),"")</f>
        <v/>
      </c>
      <c r="AO36" s="11" t="str" cm="1">
        <f t="array" ref="AO36">IFERROR(_xlfn.XLOOKUP($I36,#REF!,_xlfn.XLOOKUP(AO$10,#REF!,#REF!,"",0,1),""),"")</f>
        <v/>
      </c>
      <c r="AP36" s="11" t="str" cm="1">
        <f t="array" ref="AP36">IFERROR(_xlfn.XLOOKUP($I36,#REF!,_xlfn.XLOOKUP(AP$10,#REF!,#REF!,"",0,1),""),"")</f>
        <v/>
      </c>
      <c r="AQ36" s="11" t="str" cm="1">
        <f t="array" ref="AQ36">IFERROR(_xlfn.XLOOKUP($I36,#REF!,_xlfn.XLOOKUP(AQ$10,#REF!,#REF!,"",0,1),""),"")</f>
        <v/>
      </c>
      <c r="AR36" s="12" t="str" cm="1">
        <f t="array" ref="AR36">IFERROR(_xlfn.XLOOKUP($I36,#REF!,_xlfn.XLOOKUP(AR$10,#REF!,#REF!,"",0,1),""),"")</f>
        <v/>
      </c>
      <c r="AS36" s="12" t="str" cm="1">
        <f t="array" ref="AS36">IFERROR(_xlfn.XLOOKUP($I36,#REF!,_xlfn.XLOOKUP(AS$10,#REF!,#REF!,"",0,1),""),"")</f>
        <v/>
      </c>
      <c r="AT36" s="12" t="str" cm="1">
        <f t="array" ref="AT36">IFERROR(_xlfn.XLOOKUP($I36,#REF!,_xlfn.XLOOKUP(AT$10,#REF!,#REF!,"",0,1),""),"")</f>
        <v/>
      </c>
      <c r="AU36" s="12" t="str" cm="1">
        <f t="array" ref="AU36">IFERROR(_xlfn.XLOOKUP($I36,#REF!,_xlfn.XLOOKUP(AU$10,#REF!,#REF!,"",0,1),""),"")</f>
        <v/>
      </c>
      <c r="AV36" s="12" t="str" cm="1">
        <f t="array" ref="AV36">IFERROR(_xlfn.XLOOKUP($I36,#REF!,_xlfn.XLOOKUP(AV$10,#REF!,#REF!,"",0,1),""),"")</f>
        <v/>
      </c>
      <c r="AW36" s="12" t="str">
        <f>IFERROR(_xlfn.XLOOKUP($I36,#REF!,#REF!,""),"")</f>
        <v/>
      </c>
      <c r="AX36" s="12" t="str">
        <f>IFERROR(_xlfn.XLOOKUP($I36,#REF!,#REF!,""),"")</f>
        <v/>
      </c>
      <c r="AY36" s="12" t="str">
        <f>IFERROR(_xlfn.XLOOKUP($I36,#REF!,#REF!,""),"")</f>
        <v/>
      </c>
      <c r="AZ36" s="11" t="str" cm="1">
        <f t="array" ref="AZ36">IFERROR(_xlfn.XLOOKUP($I36,#REF!,_xlfn.XLOOKUP(AZ$10,#REF!,#REF!,"",0,1),""),"")</f>
        <v/>
      </c>
      <c r="BA36" s="11" t="str" cm="1">
        <f t="array" ref="BA36">IFERROR(_xlfn.XLOOKUP($I36,#REF!,_xlfn.XLOOKUP(BA$10,#REF!,#REF!,"",0,1),""),"")</f>
        <v/>
      </c>
      <c r="BB36" s="11" t="str">
        <f>IFERROR(_xlfn.XLOOKUP($I36,#REF!,#REF!,""),"")</f>
        <v/>
      </c>
      <c r="BC36" s="11" t="str">
        <f>IFERROR(_xlfn.XLOOKUP($I36,#REF!,#REF!,""),"")</f>
        <v/>
      </c>
      <c r="BD36" s="12" t="str" cm="1">
        <f t="array" ref="BD36">IFERROR(_xlfn.XLOOKUP($I36,#REF!,_xlfn.XLOOKUP(BD$10,#REF!,#REF!,"",0,1),""),"")</f>
        <v/>
      </c>
      <c r="BE36" s="12" t="str" cm="1">
        <f t="array" ref="BE36">IFERROR(_xlfn.XLOOKUP($I36,#REF!,_xlfn.XLOOKUP(BE$10,#REF!,#REF!,"",0,1),""),"")</f>
        <v/>
      </c>
      <c r="BF36" s="12" t="str" cm="1">
        <f t="array" ref="BF36">IFERROR(_xlfn.XLOOKUP($I36,#REF!,_xlfn.XLOOKUP(BF$10,#REF!,#REF!,"",0,1),""),"")</f>
        <v/>
      </c>
      <c r="BG36" s="12" t="str" cm="1">
        <f t="array" ref="BG36">IFERROR(_xlfn.XLOOKUP($I36,#REF!,_xlfn.XLOOKUP(BG$10,#REF!,#REF!,"",0,1),""),"")</f>
        <v/>
      </c>
      <c r="BH36" s="12" t="str" cm="1">
        <f t="array" ref="BH36">IFERROR(_xlfn.XLOOKUP($I36,#REF!,_xlfn.XLOOKUP(BH$10,#REF!,#REF!,"",0,1),""),"")</f>
        <v/>
      </c>
      <c r="BI36" s="12" t="str" cm="1">
        <f t="array" ref="BI36">IFERROR(_xlfn.XLOOKUP($I36,#REF!,_xlfn.XLOOKUP(BI$10,#REF!,#REF!,"",0,1),""),"")</f>
        <v/>
      </c>
      <c r="BJ36" s="12" t="str" cm="1">
        <f t="array" ref="BJ36">IFERROR(_xlfn.XLOOKUP($I36,#REF!,_xlfn.XLOOKUP(BJ$10,#REF!,#REF!,"",0,1),""),"")</f>
        <v/>
      </c>
      <c r="BK36" s="12" t="str" cm="1">
        <f t="array" ref="BK36">IFERROR(_xlfn.XLOOKUP($I36,#REF!,_xlfn.XLOOKUP(BK$10,#REF!,#REF!,"",0,1),""),"")</f>
        <v/>
      </c>
      <c r="BL36" s="12" t="str" cm="1">
        <f t="array" ref="BL36">IFERROR(_xlfn.XLOOKUP($I36,#REF!,_xlfn.XLOOKUP(BL$10,#REF!,#REF!,"",0,1),""),"")</f>
        <v/>
      </c>
      <c r="BM36" s="12" t="str">
        <f>IFERROR(_xlfn.XLOOKUP($I36,#REF!,#REF!,""),"")</f>
        <v/>
      </c>
      <c r="BN36" s="12" t="str">
        <f>IFERROR(_xlfn.XLOOKUP($I36,#REF!,#REF!,""),"")</f>
        <v/>
      </c>
      <c r="BO36" s="12" t="str">
        <f>IFERROR(_xlfn.XLOOKUP($I36,#REF!,#REF!,""),"")</f>
        <v/>
      </c>
      <c r="BP36" s="12" t="str" cm="1">
        <f t="array" ref="BP36">IFERROR(_xlfn.XLOOKUP($I36,#REF!,_xlfn.XLOOKUP(BP$10,#REF!,#REF!,"",0,1),""),"")</f>
        <v/>
      </c>
      <c r="BQ36" s="12" t="str">
        <f>IFERROR(_xlfn.XLOOKUP($I36,#REF!,#REF!,""),"")</f>
        <v/>
      </c>
      <c r="BR36" s="12" t="str">
        <f>IFERROR(_xlfn.XLOOKUP($I36,#REF!,#REF!,""),"")</f>
        <v/>
      </c>
      <c r="BS36" s="12" t="str">
        <f>IFERROR(_xlfn.XLOOKUP($I36,#REF!,#REF!,""),"")</f>
        <v/>
      </c>
      <c r="BT36" s="11" t="str">
        <f>IFERROR(_xlfn.XLOOKUP($I36,#REF!,#REF!,""),"")</f>
        <v/>
      </c>
      <c r="BU36" s="11" t="str">
        <f>IFERROR(_xlfn.XLOOKUP($I36,#REF!,#REF!,""),"")</f>
        <v/>
      </c>
      <c r="BV36" s="32" t="str">
        <f>IFERROR(_xlfn.XLOOKUP($I36,#REF!,#REF!,""),"")</f>
        <v/>
      </c>
      <c r="BW36" s="12" t="str">
        <f>IFERROR(_xlfn.XLOOKUP($I36,#REF!,#REF!,""),"")</f>
        <v/>
      </c>
    </row>
    <row r="37" spans="3:75" ht="52.35" customHeight="1" x14ac:dyDescent="0.3">
      <c r="C37" s="22" t="str">
        <f>IFERROR(_xlfn.XLOOKUP($I37,#REF!,#REF!,""),"")</f>
        <v/>
      </c>
      <c r="D37" s="19" t="str">
        <f>IFERROR(_xlfn.XLOOKUP($I37,#REF!,#REF!,""),"")</f>
        <v/>
      </c>
      <c r="E37" s="23" t="str">
        <f>IFERROR(_xlfn.XLOOKUP($I37,#REF!,#REF!,""),"")</f>
        <v/>
      </c>
      <c r="F37" s="19" t="str">
        <f>IFERROR(_xlfn.XLOOKUP($I37,#REF!,#REF!,""),"")</f>
        <v/>
      </c>
      <c r="G37" s="19" t="str">
        <f>IFERROR(_xlfn.XLOOKUP($I37,#REF!,#REF!,""),"")</f>
        <v/>
      </c>
      <c r="H37" s="19" t="str">
        <f>IFERROR(_xlfn.XLOOKUP($I37,#REF!,#REF!,""),"")</f>
        <v/>
      </c>
      <c r="I37" s="77">
        <v>101382</v>
      </c>
      <c r="J37" s="12" t="str" cm="1">
        <f t="array" ref="J37">IFERROR(_xlfn.XLOOKUP($I37,#REF!,_xlfn.XLOOKUP(J$10,#REF!,#REF!,"",0,1),""),"")</f>
        <v/>
      </c>
      <c r="K37" s="12" t="str" cm="1">
        <f t="array" ref="K37">IFERROR(_xlfn.XLOOKUP($I37,#REF!,_xlfn.XLOOKUP(K$10,#REF!,#REF!,"",0,1),""),"")</f>
        <v/>
      </c>
      <c r="L37" s="12" t="str" cm="1">
        <f t="array" ref="L37">IFERROR(_xlfn.XLOOKUP($I37,#REF!,_xlfn.XLOOKUP(L$10,#REF!,#REF!,"",0,1),""),"")</f>
        <v/>
      </c>
      <c r="M37" s="36" t="str" cm="1">
        <f t="array" ref="M37">IFERROR(_xlfn.XLOOKUP($I37,#REF!,_xlfn.XLOOKUP(M$10,#REF!,#REF!,"",0,1),""),"")</f>
        <v/>
      </c>
      <c r="N37" s="37" t="str" cm="1">
        <f t="array" ref="N37">IFERROR(_xlfn.XLOOKUP($I37,#REF!,_xlfn.XLOOKUP(N$10,#REF!,#REF!,"",0,1),""),"")</f>
        <v/>
      </c>
      <c r="O37" s="12" t="str" cm="1">
        <f t="array" ref="O37">IFERROR(_xlfn.XLOOKUP($I37,#REF!,_xlfn.XLOOKUP(O$10,#REF!,#REF!,"",0,1),""),"")</f>
        <v/>
      </c>
      <c r="P37" s="12" t="str" cm="1">
        <f t="array" ref="P37">IFERROR(_xlfn.XLOOKUP($I37,#REF!,_xlfn.XLOOKUP(P$10,#REF!,#REF!,"",0,1),""),"")</f>
        <v/>
      </c>
      <c r="Q37" s="12" t="str" cm="1">
        <f t="array" ref="Q37">IFERROR(_xlfn.XLOOKUP($I37,#REF!,_xlfn.XLOOKUP(Q$10,#REF!,#REF!,"",0,1),""),"")</f>
        <v/>
      </c>
      <c r="R37" s="12" t="str" cm="1">
        <f t="array" ref="R37">IFERROR(_xlfn.XLOOKUP($I37,#REF!,_xlfn.XLOOKUP(R$10,#REF!,#REF!,"",0,1),""),"")</f>
        <v/>
      </c>
      <c r="S37" s="12" t="str">
        <f>IFERROR(_xlfn.XLOOKUP($I37,#REF!,#REF!,""),"")</f>
        <v/>
      </c>
      <c r="T37" s="12" t="str">
        <f>IFERROR(_xlfn.XLOOKUP($I37,#REF!,#REF!,""),"")</f>
        <v/>
      </c>
      <c r="U37" s="12" t="str">
        <f>IFERROR(_xlfn.XLOOKUP($I37,#REF!,#REF!,""),"")</f>
        <v/>
      </c>
      <c r="V37" s="12" t="str">
        <f>IFERROR(_xlfn.XLOOKUP($I37,#REF!,#REF!,""),"")</f>
        <v/>
      </c>
      <c r="W37" s="74" t="str" cm="1">
        <f t="array" ref="W37">IFERROR(_xlfn.XLOOKUP($I37,#REF!,_xlfn.XLOOKUP(W$10,#REF!,#REF!,"",0,1),""),"")</f>
        <v/>
      </c>
      <c r="X37" s="74" t="str" cm="1">
        <f t="array" ref="X37">IFERROR(_xlfn.XLOOKUP($I37,#REF!,_xlfn.XLOOKUP(X$10,#REF!,#REF!,"",0,1),""),"")</f>
        <v/>
      </c>
      <c r="Y37" s="74" t="str" cm="1">
        <f t="array" ref="Y37">IFERROR(_xlfn.XLOOKUP($I37,#REF!,_xlfn.XLOOKUP(Y$10,#REF!,#REF!,"",0,1),""),"")</f>
        <v/>
      </c>
      <c r="Z37" s="74" t="str" cm="1">
        <f t="array" ref="Z37">IFERROR(_xlfn.XLOOKUP($I37,#REF!,_xlfn.XLOOKUP(Z$10,#REF!,#REF!,"",0,1),""),"")</f>
        <v/>
      </c>
      <c r="AA37" s="74" t="str" cm="1">
        <f t="array" ref="AA37">IFERROR(_xlfn.XLOOKUP($I37,#REF!,_xlfn.XLOOKUP(AA$10,#REF!,#REF!,"",0,1),""),"")</f>
        <v/>
      </c>
      <c r="AB37" s="12" t="str" cm="1">
        <f t="array" ref="AB37">IFERROR(_xlfn.XLOOKUP($I37,#REF!,_xlfn.XLOOKUP(AB$10,#REF!,#REF!,"",0,1),""),"")</f>
        <v/>
      </c>
      <c r="AC37" s="52" t="str" cm="1">
        <f t="array" ref="AC37">IFERROR(_xlfn.XLOOKUP($I37,#REF!,_xlfn.XLOOKUP(AC$10,#REF!,#REF!,"",0,1),""),"")</f>
        <v/>
      </c>
      <c r="AD37" s="12" t="str" cm="1">
        <f t="array" ref="AD37">IFERROR(_xlfn.XLOOKUP($I37,#REF!,_xlfn.XLOOKUP(AD$10,#REF!,#REF!,"",0,1),""),"")</f>
        <v/>
      </c>
      <c r="AE37" s="12"/>
      <c r="AF37" s="12" t="str" cm="1">
        <f t="array" ref="AF37">IFERROR(_xlfn.XLOOKUP($I37,#REF!,_xlfn.XLOOKUP(AF$10,#REF!,#REF!,"",0,1),""),"")</f>
        <v/>
      </c>
      <c r="AG37" s="12" t="str" cm="1">
        <f t="array" ref="AG37">IFERROR(_xlfn.XLOOKUP($I37,#REF!,_xlfn.XLOOKUP(AG$10,#REF!,#REF!,"",0,1),""),"")</f>
        <v/>
      </c>
      <c r="AH37" s="12" t="str" cm="1">
        <f t="array" ref="AH37">IFERROR(_xlfn.XLOOKUP($I37,#REF!,_xlfn.XLOOKUP(AH$10,#REF!,#REF!,"",0,1),""),"")</f>
        <v/>
      </c>
      <c r="AI37" s="12" t="str" cm="1">
        <f t="array" ref="AI37">IFERROR(_xlfn.XLOOKUP($I37,#REF!,_xlfn.XLOOKUP(AI$10,#REF!,#REF!,"",0,1),""),"")</f>
        <v/>
      </c>
      <c r="AJ37" s="12"/>
      <c r="AK37" s="12"/>
      <c r="AL37" s="11" t="str" cm="1">
        <f t="array" ref="AL37">IFERROR(_xlfn.XLOOKUP($I37,#REF!,_xlfn.XLOOKUP(AL$10,#REF!,#REF!,"",0,1),""),"")</f>
        <v/>
      </c>
      <c r="AM37" s="11" t="str" cm="1">
        <f t="array" ref="AM37">IFERROR(_xlfn.XLOOKUP($I37,#REF!,_xlfn.XLOOKUP(AM$10,#REF!,#REF!,"",0,1),""),"")</f>
        <v/>
      </c>
      <c r="AN37" s="11" t="str" cm="1">
        <f t="array" ref="AN37">IFERROR(_xlfn.XLOOKUP($I37,#REF!,_xlfn.XLOOKUP(AN$10,#REF!,#REF!,"",0,1),""),"")</f>
        <v/>
      </c>
      <c r="AO37" s="11" t="str" cm="1">
        <f t="array" ref="AO37">IFERROR(_xlfn.XLOOKUP($I37,#REF!,_xlfn.XLOOKUP(AO$10,#REF!,#REF!,"",0,1),""),"")</f>
        <v/>
      </c>
      <c r="AP37" s="11" t="str" cm="1">
        <f t="array" ref="AP37">IFERROR(_xlfn.XLOOKUP($I37,#REF!,_xlfn.XLOOKUP(AP$10,#REF!,#REF!,"",0,1),""),"")</f>
        <v/>
      </c>
      <c r="AQ37" s="11" t="str" cm="1">
        <f t="array" ref="AQ37">IFERROR(_xlfn.XLOOKUP($I37,#REF!,_xlfn.XLOOKUP(AQ$10,#REF!,#REF!,"",0,1),""),"")</f>
        <v/>
      </c>
      <c r="AR37" s="12" t="str" cm="1">
        <f t="array" ref="AR37">IFERROR(_xlfn.XLOOKUP($I37,#REF!,_xlfn.XLOOKUP(AR$10,#REF!,#REF!,"",0,1),""),"")</f>
        <v/>
      </c>
      <c r="AS37" s="12" t="str" cm="1">
        <f t="array" ref="AS37">IFERROR(_xlfn.XLOOKUP($I37,#REF!,_xlfn.XLOOKUP(AS$10,#REF!,#REF!,"",0,1),""),"")</f>
        <v/>
      </c>
      <c r="AT37" s="12" t="str" cm="1">
        <f t="array" ref="AT37">IFERROR(_xlfn.XLOOKUP($I37,#REF!,_xlfn.XLOOKUP(AT$10,#REF!,#REF!,"",0,1),""),"")</f>
        <v/>
      </c>
      <c r="AU37" s="12" t="str" cm="1">
        <f t="array" ref="AU37">IFERROR(_xlfn.XLOOKUP($I37,#REF!,_xlfn.XLOOKUP(AU$10,#REF!,#REF!,"",0,1),""),"")</f>
        <v/>
      </c>
      <c r="AV37" s="12" t="str" cm="1">
        <f t="array" ref="AV37">IFERROR(_xlfn.XLOOKUP($I37,#REF!,_xlfn.XLOOKUP(AV$10,#REF!,#REF!,"",0,1),""),"")</f>
        <v/>
      </c>
      <c r="AW37" s="12" t="str">
        <f>IFERROR(_xlfn.XLOOKUP($I37,#REF!,#REF!,""),"")</f>
        <v/>
      </c>
      <c r="AX37" s="12" t="str">
        <f>IFERROR(_xlfn.XLOOKUP($I37,#REF!,#REF!,""),"")</f>
        <v/>
      </c>
      <c r="AY37" s="12" t="str">
        <f>IFERROR(_xlfn.XLOOKUP($I37,#REF!,#REF!,""),"")</f>
        <v/>
      </c>
      <c r="AZ37" s="11" t="str" cm="1">
        <f t="array" ref="AZ37">IFERROR(_xlfn.XLOOKUP($I37,#REF!,_xlfn.XLOOKUP(AZ$10,#REF!,#REF!,"",0,1),""),"")</f>
        <v/>
      </c>
      <c r="BA37" s="11" t="str" cm="1">
        <f t="array" ref="BA37">IFERROR(_xlfn.XLOOKUP($I37,#REF!,_xlfn.XLOOKUP(BA$10,#REF!,#REF!,"",0,1),""),"")</f>
        <v/>
      </c>
      <c r="BB37" s="11" t="str">
        <f>IFERROR(_xlfn.XLOOKUP($I37,#REF!,#REF!,""),"")</f>
        <v/>
      </c>
      <c r="BC37" s="11" t="str">
        <f>IFERROR(_xlfn.XLOOKUP($I37,#REF!,#REF!,""),"")</f>
        <v/>
      </c>
      <c r="BD37" s="12" t="str" cm="1">
        <f t="array" ref="BD37">IFERROR(_xlfn.XLOOKUP($I37,#REF!,_xlfn.XLOOKUP(BD$10,#REF!,#REF!,"",0,1),""),"")</f>
        <v/>
      </c>
      <c r="BE37" s="12" t="str" cm="1">
        <f t="array" ref="BE37">IFERROR(_xlfn.XLOOKUP($I37,#REF!,_xlfn.XLOOKUP(BE$10,#REF!,#REF!,"",0,1),""),"")</f>
        <v/>
      </c>
      <c r="BF37" s="12" t="str" cm="1">
        <f t="array" ref="BF37">IFERROR(_xlfn.XLOOKUP($I37,#REF!,_xlfn.XLOOKUP(BF$10,#REF!,#REF!,"",0,1),""),"")</f>
        <v/>
      </c>
      <c r="BG37" s="12" t="str" cm="1">
        <f t="array" ref="BG37">IFERROR(_xlfn.XLOOKUP($I37,#REF!,_xlfn.XLOOKUP(BG$10,#REF!,#REF!,"",0,1),""),"")</f>
        <v/>
      </c>
      <c r="BH37" s="12" t="str" cm="1">
        <f t="array" ref="BH37">IFERROR(_xlfn.XLOOKUP($I37,#REF!,_xlfn.XLOOKUP(BH$10,#REF!,#REF!,"",0,1),""),"")</f>
        <v/>
      </c>
      <c r="BI37" s="12" t="str" cm="1">
        <f t="array" ref="BI37">IFERROR(_xlfn.XLOOKUP($I37,#REF!,_xlfn.XLOOKUP(BI$10,#REF!,#REF!,"",0,1),""),"")</f>
        <v/>
      </c>
      <c r="BJ37" s="12" t="str" cm="1">
        <f t="array" ref="BJ37">IFERROR(_xlfn.XLOOKUP($I37,#REF!,_xlfn.XLOOKUP(BJ$10,#REF!,#REF!,"",0,1),""),"")</f>
        <v/>
      </c>
      <c r="BK37" s="12" t="str" cm="1">
        <f t="array" ref="BK37">IFERROR(_xlfn.XLOOKUP($I37,#REF!,_xlfn.XLOOKUP(BK$10,#REF!,#REF!,"",0,1),""),"")</f>
        <v/>
      </c>
      <c r="BL37" s="12" t="str" cm="1">
        <f t="array" ref="BL37">IFERROR(_xlfn.XLOOKUP($I37,#REF!,_xlfn.XLOOKUP(BL$10,#REF!,#REF!,"",0,1),""),"")</f>
        <v/>
      </c>
      <c r="BM37" s="12" t="str">
        <f>IFERROR(_xlfn.XLOOKUP($I37,#REF!,#REF!,""),"")</f>
        <v/>
      </c>
      <c r="BN37" s="12" t="str">
        <f>IFERROR(_xlfn.XLOOKUP($I37,#REF!,#REF!,""),"")</f>
        <v/>
      </c>
      <c r="BO37" s="12" t="str">
        <f>IFERROR(_xlfn.XLOOKUP($I37,#REF!,#REF!,""),"")</f>
        <v/>
      </c>
      <c r="BP37" s="12" t="str" cm="1">
        <f t="array" ref="BP37">IFERROR(_xlfn.XLOOKUP($I37,#REF!,_xlfn.XLOOKUP(BP$10,#REF!,#REF!,"",0,1),""),"")</f>
        <v/>
      </c>
      <c r="BQ37" s="12" t="str">
        <f>IFERROR(_xlfn.XLOOKUP($I37,#REF!,#REF!,""),"")</f>
        <v/>
      </c>
      <c r="BR37" s="12" t="str">
        <f>IFERROR(_xlfn.XLOOKUP($I37,#REF!,#REF!,""),"")</f>
        <v/>
      </c>
      <c r="BS37" s="12" t="str">
        <f>IFERROR(_xlfn.XLOOKUP($I37,#REF!,#REF!,""),"")</f>
        <v/>
      </c>
      <c r="BT37" s="11" t="str">
        <f>IFERROR(_xlfn.XLOOKUP($I37,#REF!,#REF!,""),"")</f>
        <v/>
      </c>
      <c r="BU37" s="11" t="str">
        <f>IFERROR(_xlfn.XLOOKUP($I37,#REF!,#REF!,""),"")</f>
        <v/>
      </c>
      <c r="BV37" s="32" t="str">
        <f>IFERROR(_xlfn.XLOOKUP($I37,#REF!,#REF!,""),"")</f>
        <v/>
      </c>
      <c r="BW37" s="12" t="str">
        <f>IFERROR(_xlfn.XLOOKUP($I37,#REF!,#REF!,""),"")</f>
        <v/>
      </c>
    </row>
    <row r="38" spans="3:75" ht="52.35" customHeight="1" x14ac:dyDescent="0.3">
      <c r="C38" s="22" t="str">
        <f>IFERROR(_xlfn.XLOOKUP($I38,#REF!,#REF!,""),"")</f>
        <v/>
      </c>
      <c r="D38" s="19" t="str">
        <f>IFERROR(_xlfn.XLOOKUP($I38,#REF!,#REF!,""),"")</f>
        <v/>
      </c>
      <c r="E38" s="23" t="str">
        <f>IFERROR(_xlfn.XLOOKUP($I38,#REF!,#REF!,""),"")</f>
        <v/>
      </c>
      <c r="F38" s="19" t="str">
        <f>IFERROR(_xlfn.XLOOKUP($I38,#REF!,#REF!,""),"")</f>
        <v/>
      </c>
      <c r="G38" s="19" t="str">
        <f>IFERROR(_xlfn.XLOOKUP($I38,#REF!,#REF!,""),"")</f>
        <v/>
      </c>
      <c r="H38" s="19" t="str">
        <f>IFERROR(_xlfn.XLOOKUP($I38,#REF!,#REF!,""),"")</f>
        <v/>
      </c>
      <c r="I38" s="77">
        <v>53140</v>
      </c>
      <c r="J38" s="12" t="str" cm="1">
        <f t="array" ref="J38">IFERROR(_xlfn.XLOOKUP($I38,#REF!,_xlfn.XLOOKUP(J$10,#REF!,#REF!,"",0,1),""),"")</f>
        <v/>
      </c>
      <c r="K38" s="12" t="str" cm="1">
        <f t="array" ref="K38">IFERROR(_xlfn.XLOOKUP($I38,#REF!,_xlfn.XLOOKUP(K$10,#REF!,#REF!,"",0,1),""),"")</f>
        <v/>
      </c>
      <c r="L38" s="12" t="str" cm="1">
        <f t="array" ref="L38">IFERROR(_xlfn.XLOOKUP($I38,#REF!,_xlfn.XLOOKUP(L$10,#REF!,#REF!,"",0,1),""),"")</f>
        <v/>
      </c>
      <c r="M38" s="36" t="str" cm="1">
        <f t="array" ref="M38">IFERROR(_xlfn.XLOOKUP($I38,#REF!,_xlfn.XLOOKUP(M$10,#REF!,#REF!,"",0,1),""),"")</f>
        <v/>
      </c>
      <c r="N38" s="37" t="str" cm="1">
        <f t="array" ref="N38">IFERROR(_xlfn.XLOOKUP($I38,#REF!,_xlfn.XLOOKUP(N$10,#REF!,#REF!,"",0,1),""),"")</f>
        <v/>
      </c>
      <c r="O38" s="12" t="str" cm="1">
        <f t="array" ref="O38">IFERROR(_xlfn.XLOOKUP($I38,#REF!,_xlfn.XLOOKUP(O$10,#REF!,#REF!,"",0,1),""),"")</f>
        <v/>
      </c>
      <c r="P38" s="12" t="str" cm="1">
        <f t="array" ref="P38">IFERROR(_xlfn.XLOOKUP($I38,#REF!,_xlfn.XLOOKUP(P$10,#REF!,#REF!,"",0,1),""),"")</f>
        <v/>
      </c>
      <c r="Q38" s="12" t="str" cm="1">
        <f t="array" ref="Q38">IFERROR(_xlfn.XLOOKUP($I38,#REF!,_xlfn.XLOOKUP(Q$10,#REF!,#REF!,"",0,1),""),"")</f>
        <v/>
      </c>
      <c r="R38" s="12" t="str" cm="1">
        <f t="array" ref="R38">IFERROR(_xlfn.XLOOKUP($I38,#REF!,_xlfn.XLOOKUP(R$10,#REF!,#REF!,"",0,1),""),"")</f>
        <v/>
      </c>
      <c r="S38" s="12" t="str">
        <f>IFERROR(_xlfn.XLOOKUP($I38,#REF!,#REF!,""),"")</f>
        <v/>
      </c>
      <c r="T38" s="12" t="str">
        <f>IFERROR(_xlfn.XLOOKUP($I38,#REF!,#REF!,""),"")</f>
        <v/>
      </c>
      <c r="U38" s="12" t="str">
        <f>IFERROR(_xlfn.XLOOKUP($I38,#REF!,#REF!,""),"")</f>
        <v/>
      </c>
      <c r="V38" s="12" t="str">
        <f>IFERROR(_xlfn.XLOOKUP($I38,#REF!,#REF!,""),"")</f>
        <v/>
      </c>
      <c r="W38" s="74" t="str" cm="1">
        <f t="array" ref="W38">IFERROR(_xlfn.XLOOKUP($I38,#REF!,_xlfn.XLOOKUP(W$10,#REF!,#REF!,"",0,1),""),"")</f>
        <v/>
      </c>
      <c r="X38" s="74" t="str" cm="1">
        <f t="array" ref="X38">IFERROR(_xlfn.XLOOKUP($I38,#REF!,_xlfn.XLOOKUP(X$10,#REF!,#REF!,"",0,1),""),"")</f>
        <v/>
      </c>
      <c r="Y38" s="74" t="str" cm="1">
        <f t="array" ref="Y38">IFERROR(_xlfn.XLOOKUP($I38,#REF!,_xlfn.XLOOKUP(Y$10,#REF!,#REF!,"",0,1),""),"")</f>
        <v/>
      </c>
      <c r="Z38" s="74" t="str" cm="1">
        <f t="array" ref="Z38">IFERROR(_xlfn.XLOOKUP($I38,#REF!,_xlfn.XLOOKUP(Z$10,#REF!,#REF!,"",0,1),""),"")</f>
        <v/>
      </c>
      <c r="AA38" s="74" t="str" cm="1">
        <f t="array" ref="AA38">IFERROR(_xlfn.XLOOKUP($I38,#REF!,_xlfn.XLOOKUP(AA$10,#REF!,#REF!,"",0,1),""),"")</f>
        <v/>
      </c>
      <c r="AB38" s="12" t="str" cm="1">
        <f t="array" ref="AB38">IFERROR(_xlfn.XLOOKUP($I38,#REF!,_xlfn.XLOOKUP(AB$10,#REF!,#REF!,"",0,1),""),"")</f>
        <v/>
      </c>
      <c r="AC38" s="52" t="str" cm="1">
        <f t="array" ref="AC38">IFERROR(_xlfn.XLOOKUP($I38,#REF!,_xlfn.XLOOKUP(AC$10,#REF!,#REF!,"",0,1),""),"")</f>
        <v/>
      </c>
      <c r="AD38" s="12" t="str" cm="1">
        <f t="array" ref="AD38">IFERROR(_xlfn.XLOOKUP($I38,#REF!,_xlfn.XLOOKUP(AD$10,#REF!,#REF!,"",0,1),""),"")</f>
        <v/>
      </c>
      <c r="AE38" s="12"/>
      <c r="AF38" s="12" t="str" cm="1">
        <f t="array" ref="AF38">IFERROR(_xlfn.XLOOKUP($I38,#REF!,_xlfn.XLOOKUP(AF$10,#REF!,#REF!,"",0,1),""),"")</f>
        <v/>
      </c>
      <c r="AG38" s="12" t="str" cm="1">
        <f t="array" ref="AG38">IFERROR(_xlfn.XLOOKUP($I38,#REF!,_xlfn.XLOOKUP(AG$10,#REF!,#REF!,"",0,1),""),"")</f>
        <v/>
      </c>
      <c r="AH38" s="12" t="str" cm="1">
        <f t="array" ref="AH38">IFERROR(_xlfn.XLOOKUP($I38,#REF!,_xlfn.XLOOKUP(AH$10,#REF!,#REF!,"",0,1),""),"")</f>
        <v/>
      </c>
      <c r="AI38" s="12" t="str" cm="1">
        <f t="array" ref="AI38">IFERROR(_xlfn.XLOOKUP($I38,#REF!,_xlfn.XLOOKUP(AI$10,#REF!,#REF!,"",0,1),""),"")</f>
        <v/>
      </c>
      <c r="AJ38" s="12"/>
      <c r="AK38" s="12"/>
      <c r="AL38" s="11" t="str" cm="1">
        <f t="array" ref="AL38">IFERROR(_xlfn.XLOOKUP($I38,#REF!,_xlfn.XLOOKUP(AL$10,#REF!,#REF!,"",0,1),""),"")</f>
        <v/>
      </c>
      <c r="AM38" s="11" t="str" cm="1">
        <f t="array" ref="AM38">IFERROR(_xlfn.XLOOKUP($I38,#REF!,_xlfn.XLOOKUP(AM$10,#REF!,#REF!,"",0,1),""),"")</f>
        <v/>
      </c>
      <c r="AN38" s="11" t="str" cm="1">
        <f t="array" ref="AN38">IFERROR(_xlfn.XLOOKUP($I38,#REF!,_xlfn.XLOOKUP(AN$10,#REF!,#REF!,"",0,1),""),"")</f>
        <v/>
      </c>
      <c r="AO38" s="11" t="str" cm="1">
        <f t="array" ref="AO38">IFERROR(_xlfn.XLOOKUP($I38,#REF!,_xlfn.XLOOKUP(AO$10,#REF!,#REF!,"",0,1),""),"")</f>
        <v/>
      </c>
      <c r="AP38" s="11" t="str" cm="1">
        <f t="array" ref="AP38">IFERROR(_xlfn.XLOOKUP($I38,#REF!,_xlfn.XLOOKUP(AP$10,#REF!,#REF!,"",0,1),""),"")</f>
        <v/>
      </c>
      <c r="AQ38" s="11" t="str" cm="1">
        <f t="array" ref="AQ38">IFERROR(_xlfn.XLOOKUP($I38,#REF!,_xlfn.XLOOKUP(AQ$10,#REF!,#REF!,"",0,1),""),"")</f>
        <v/>
      </c>
      <c r="AR38" s="12" t="str" cm="1">
        <f t="array" ref="AR38">IFERROR(_xlfn.XLOOKUP($I38,#REF!,_xlfn.XLOOKUP(AR$10,#REF!,#REF!,"",0,1),""),"")</f>
        <v/>
      </c>
      <c r="AS38" s="12" t="str" cm="1">
        <f t="array" ref="AS38">IFERROR(_xlfn.XLOOKUP($I38,#REF!,_xlfn.XLOOKUP(AS$10,#REF!,#REF!,"",0,1),""),"")</f>
        <v/>
      </c>
      <c r="AT38" s="12" t="str" cm="1">
        <f t="array" ref="AT38">IFERROR(_xlfn.XLOOKUP($I38,#REF!,_xlfn.XLOOKUP(AT$10,#REF!,#REF!,"",0,1),""),"")</f>
        <v/>
      </c>
      <c r="AU38" s="12" t="str" cm="1">
        <f t="array" ref="AU38">IFERROR(_xlfn.XLOOKUP($I38,#REF!,_xlfn.XLOOKUP(AU$10,#REF!,#REF!,"",0,1),""),"")</f>
        <v/>
      </c>
      <c r="AV38" s="12" t="str" cm="1">
        <f t="array" ref="AV38">IFERROR(_xlfn.XLOOKUP($I38,#REF!,_xlfn.XLOOKUP(AV$10,#REF!,#REF!,"",0,1),""),"")</f>
        <v/>
      </c>
      <c r="AW38" s="12" t="str">
        <f>IFERROR(_xlfn.XLOOKUP($I38,#REF!,#REF!,""),"")</f>
        <v/>
      </c>
      <c r="AX38" s="12" t="str">
        <f>IFERROR(_xlfn.XLOOKUP($I38,#REF!,#REF!,""),"")</f>
        <v/>
      </c>
      <c r="AY38" s="12" t="str">
        <f>IFERROR(_xlfn.XLOOKUP($I38,#REF!,#REF!,""),"")</f>
        <v/>
      </c>
      <c r="AZ38" s="11" t="str" cm="1">
        <f t="array" ref="AZ38">IFERROR(_xlfn.XLOOKUP($I38,#REF!,_xlfn.XLOOKUP(AZ$10,#REF!,#REF!,"",0,1),""),"")</f>
        <v/>
      </c>
      <c r="BA38" s="11" t="str" cm="1">
        <f t="array" ref="BA38">IFERROR(_xlfn.XLOOKUP($I38,#REF!,_xlfn.XLOOKUP(BA$10,#REF!,#REF!,"",0,1),""),"")</f>
        <v/>
      </c>
      <c r="BB38" s="11" t="str">
        <f>IFERROR(_xlfn.XLOOKUP($I38,#REF!,#REF!,""),"")</f>
        <v/>
      </c>
      <c r="BC38" s="11" t="str">
        <f>IFERROR(_xlfn.XLOOKUP($I38,#REF!,#REF!,""),"")</f>
        <v/>
      </c>
      <c r="BD38" s="12" t="str" cm="1">
        <f t="array" ref="BD38">IFERROR(_xlfn.XLOOKUP($I38,#REF!,_xlfn.XLOOKUP(BD$10,#REF!,#REF!,"",0,1),""),"")</f>
        <v/>
      </c>
      <c r="BE38" s="12" t="str" cm="1">
        <f t="array" ref="BE38">IFERROR(_xlfn.XLOOKUP($I38,#REF!,_xlfn.XLOOKUP(BE$10,#REF!,#REF!,"",0,1),""),"")</f>
        <v/>
      </c>
      <c r="BF38" s="12" t="str" cm="1">
        <f t="array" ref="BF38">IFERROR(_xlfn.XLOOKUP($I38,#REF!,_xlfn.XLOOKUP(BF$10,#REF!,#REF!,"",0,1),""),"")</f>
        <v/>
      </c>
      <c r="BG38" s="12" t="str" cm="1">
        <f t="array" ref="BG38">IFERROR(_xlfn.XLOOKUP($I38,#REF!,_xlfn.XLOOKUP(BG$10,#REF!,#REF!,"",0,1),""),"")</f>
        <v/>
      </c>
      <c r="BH38" s="12" t="str" cm="1">
        <f t="array" ref="BH38">IFERROR(_xlfn.XLOOKUP($I38,#REF!,_xlfn.XLOOKUP(BH$10,#REF!,#REF!,"",0,1),""),"")</f>
        <v/>
      </c>
      <c r="BI38" s="12" t="str" cm="1">
        <f t="array" ref="BI38">IFERROR(_xlfn.XLOOKUP($I38,#REF!,_xlfn.XLOOKUP(BI$10,#REF!,#REF!,"",0,1),""),"")</f>
        <v/>
      </c>
      <c r="BJ38" s="12" t="str" cm="1">
        <f t="array" ref="BJ38">IFERROR(_xlfn.XLOOKUP($I38,#REF!,_xlfn.XLOOKUP(BJ$10,#REF!,#REF!,"",0,1),""),"")</f>
        <v/>
      </c>
      <c r="BK38" s="12" t="str" cm="1">
        <f t="array" ref="BK38">IFERROR(_xlfn.XLOOKUP($I38,#REF!,_xlfn.XLOOKUP(BK$10,#REF!,#REF!,"",0,1),""),"")</f>
        <v/>
      </c>
      <c r="BL38" s="12" t="str" cm="1">
        <f t="array" ref="BL38">IFERROR(_xlfn.XLOOKUP($I38,#REF!,_xlfn.XLOOKUP(BL$10,#REF!,#REF!,"",0,1),""),"")</f>
        <v/>
      </c>
      <c r="BM38" s="12" t="str">
        <f>IFERROR(_xlfn.XLOOKUP($I38,#REF!,#REF!,""),"")</f>
        <v/>
      </c>
      <c r="BN38" s="12" t="str">
        <f>IFERROR(_xlfn.XLOOKUP($I38,#REF!,#REF!,""),"")</f>
        <v/>
      </c>
      <c r="BO38" s="12" t="str">
        <f>IFERROR(_xlfn.XLOOKUP($I38,#REF!,#REF!,""),"")</f>
        <v/>
      </c>
      <c r="BP38" s="12" t="str" cm="1">
        <f t="array" ref="BP38">IFERROR(_xlfn.XLOOKUP($I38,#REF!,_xlfn.XLOOKUP(BP$10,#REF!,#REF!,"",0,1),""),"")</f>
        <v/>
      </c>
      <c r="BQ38" s="12" t="str">
        <f>IFERROR(_xlfn.XLOOKUP($I38,#REF!,#REF!,""),"")</f>
        <v/>
      </c>
      <c r="BR38" s="12" t="str">
        <f>IFERROR(_xlfn.XLOOKUP($I38,#REF!,#REF!,""),"")</f>
        <v/>
      </c>
      <c r="BS38" s="12" t="str">
        <f>IFERROR(_xlfn.XLOOKUP($I38,#REF!,#REF!,""),"")</f>
        <v/>
      </c>
      <c r="BT38" s="11" t="str">
        <f>IFERROR(_xlfn.XLOOKUP($I38,#REF!,#REF!,""),"")</f>
        <v/>
      </c>
      <c r="BU38" s="11" t="str">
        <f>IFERROR(_xlfn.XLOOKUP($I38,#REF!,#REF!,""),"")</f>
        <v/>
      </c>
      <c r="BV38" s="32" t="str">
        <f>IFERROR(_xlfn.XLOOKUP($I38,#REF!,#REF!,""),"")</f>
        <v/>
      </c>
      <c r="BW38" s="12" t="str">
        <f>IFERROR(_xlfn.XLOOKUP($I38,#REF!,#REF!,""),"")</f>
        <v/>
      </c>
    </row>
    <row r="39" spans="3:75" ht="52.35" customHeight="1" x14ac:dyDescent="0.3">
      <c r="C39" s="22" t="str">
        <f>IFERROR(_xlfn.XLOOKUP($I39,#REF!,#REF!,""),"")</f>
        <v/>
      </c>
      <c r="D39" s="19" t="str">
        <f>IFERROR(_xlfn.XLOOKUP($I39,#REF!,#REF!,""),"")</f>
        <v/>
      </c>
      <c r="E39" s="23" t="str">
        <f>IFERROR(_xlfn.XLOOKUP($I39,#REF!,#REF!,""),"")</f>
        <v/>
      </c>
      <c r="F39" s="19" t="str">
        <f>IFERROR(_xlfn.XLOOKUP($I39,#REF!,#REF!,""),"")</f>
        <v/>
      </c>
      <c r="G39" s="19" t="str">
        <f>IFERROR(_xlfn.XLOOKUP($I39,#REF!,#REF!,""),"")</f>
        <v/>
      </c>
      <c r="H39" s="19" t="str">
        <f>IFERROR(_xlfn.XLOOKUP($I39,#REF!,#REF!,""),"")</f>
        <v/>
      </c>
      <c r="I39" s="77">
        <v>103799</v>
      </c>
      <c r="J39" s="12" t="str" cm="1">
        <f t="array" ref="J39">IFERROR(_xlfn.XLOOKUP($I39,#REF!,_xlfn.XLOOKUP(J$10,#REF!,#REF!,"",0,1),""),"")</f>
        <v/>
      </c>
      <c r="K39" s="12" t="str" cm="1">
        <f t="array" ref="K39">IFERROR(_xlfn.XLOOKUP($I39,#REF!,_xlfn.XLOOKUP(K$10,#REF!,#REF!,"",0,1),""),"")</f>
        <v/>
      </c>
      <c r="L39" s="12" t="str" cm="1">
        <f t="array" ref="L39">IFERROR(_xlfn.XLOOKUP($I39,#REF!,_xlfn.XLOOKUP(L$10,#REF!,#REF!,"",0,1),""),"")</f>
        <v/>
      </c>
      <c r="M39" s="36" t="str" cm="1">
        <f t="array" ref="M39">IFERROR(_xlfn.XLOOKUP($I39,#REF!,_xlfn.XLOOKUP(M$10,#REF!,#REF!,"",0,1),""),"")</f>
        <v/>
      </c>
      <c r="N39" s="37" t="str" cm="1">
        <f t="array" ref="N39">IFERROR(_xlfn.XLOOKUP($I39,#REF!,_xlfn.XLOOKUP(N$10,#REF!,#REF!,"",0,1),""),"")</f>
        <v/>
      </c>
      <c r="O39" s="12" t="str" cm="1">
        <f t="array" ref="O39">IFERROR(_xlfn.XLOOKUP($I39,#REF!,_xlfn.XLOOKUP(O$10,#REF!,#REF!,"",0,1),""),"")</f>
        <v/>
      </c>
      <c r="P39" s="12" t="str" cm="1">
        <f t="array" ref="P39">IFERROR(_xlfn.XLOOKUP($I39,#REF!,_xlfn.XLOOKUP(P$10,#REF!,#REF!,"",0,1),""),"")</f>
        <v/>
      </c>
      <c r="Q39" s="12" t="str" cm="1">
        <f t="array" ref="Q39">IFERROR(_xlfn.XLOOKUP($I39,#REF!,_xlfn.XLOOKUP(Q$10,#REF!,#REF!,"",0,1),""),"")</f>
        <v/>
      </c>
      <c r="R39" s="12" t="str" cm="1">
        <f t="array" ref="R39">IFERROR(_xlfn.XLOOKUP($I39,#REF!,_xlfn.XLOOKUP(R$10,#REF!,#REF!,"",0,1),""),"")</f>
        <v/>
      </c>
      <c r="S39" s="12" t="str">
        <f>IFERROR(_xlfn.XLOOKUP($I39,#REF!,#REF!,""),"")</f>
        <v/>
      </c>
      <c r="T39" s="12" t="str">
        <f>IFERROR(_xlfn.XLOOKUP($I39,#REF!,#REF!,""),"")</f>
        <v/>
      </c>
      <c r="U39" s="12" t="str">
        <f>IFERROR(_xlfn.XLOOKUP($I39,#REF!,#REF!,""),"")</f>
        <v/>
      </c>
      <c r="V39" s="12" t="str">
        <f>IFERROR(_xlfn.XLOOKUP($I39,#REF!,#REF!,""),"")</f>
        <v/>
      </c>
      <c r="W39" s="74" t="str" cm="1">
        <f t="array" ref="W39">IFERROR(_xlfn.XLOOKUP($I39,#REF!,_xlfn.XLOOKUP(W$10,#REF!,#REF!,"",0,1),""),"")</f>
        <v/>
      </c>
      <c r="X39" s="74" t="str" cm="1">
        <f t="array" ref="X39">IFERROR(_xlfn.XLOOKUP($I39,#REF!,_xlfn.XLOOKUP(X$10,#REF!,#REF!,"",0,1),""),"")</f>
        <v/>
      </c>
      <c r="Y39" s="74" t="str" cm="1">
        <f t="array" ref="Y39">IFERROR(_xlfn.XLOOKUP($I39,#REF!,_xlfn.XLOOKUP(Y$10,#REF!,#REF!,"",0,1),""),"")</f>
        <v/>
      </c>
      <c r="Z39" s="74" t="str" cm="1">
        <f t="array" ref="Z39">IFERROR(_xlfn.XLOOKUP($I39,#REF!,_xlfn.XLOOKUP(Z$10,#REF!,#REF!,"",0,1),""),"")</f>
        <v/>
      </c>
      <c r="AA39" s="74" t="str" cm="1">
        <f t="array" ref="AA39">IFERROR(_xlfn.XLOOKUP($I39,#REF!,_xlfn.XLOOKUP(AA$10,#REF!,#REF!,"",0,1),""),"")</f>
        <v/>
      </c>
      <c r="AB39" s="12" t="str" cm="1">
        <f t="array" ref="AB39">IFERROR(_xlfn.XLOOKUP($I39,#REF!,_xlfn.XLOOKUP(AB$10,#REF!,#REF!,"",0,1),""),"")</f>
        <v/>
      </c>
      <c r="AC39" s="52" t="str" cm="1">
        <f t="array" ref="AC39">IFERROR(_xlfn.XLOOKUP($I39,#REF!,_xlfn.XLOOKUP(AC$10,#REF!,#REF!,"",0,1),""),"")</f>
        <v/>
      </c>
      <c r="AD39" s="12" t="str" cm="1">
        <f t="array" ref="AD39">IFERROR(_xlfn.XLOOKUP($I39,#REF!,_xlfn.XLOOKUP(AD$10,#REF!,#REF!,"",0,1),""),"")</f>
        <v/>
      </c>
      <c r="AE39" s="12"/>
      <c r="AF39" s="12" t="str" cm="1">
        <f t="array" ref="AF39">IFERROR(_xlfn.XLOOKUP($I39,#REF!,_xlfn.XLOOKUP(AF$10,#REF!,#REF!,"",0,1),""),"")</f>
        <v/>
      </c>
      <c r="AG39" s="12" t="str" cm="1">
        <f t="array" ref="AG39">IFERROR(_xlfn.XLOOKUP($I39,#REF!,_xlfn.XLOOKUP(AG$10,#REF!,#REF!,"",0,1),""),"")</f>
        <v/>
      </c>
      <c r="AH39" s="12" t="str" cm="1">
        <f t="array" ref="AH39">IFERROR(_xlfn.XLOOKUP($I39,#REF!,_xlfn.XLOOKUP(AH$10,#REF!,#REF!,"",0,1),""),"")</f>
        <v/>
      </c>
      <c r="AI39" s="12" t="str" cm="1">
        <f t="array" ref="AI39">IFERROR(_xlfn.XLOOKUP($I39,#REF!,_xlfn.XLOOKUP(AI$10,#REF!,#REF!,"",0,1),""),"")</f>
        <v/>
      </c>
      <c r="AJ39" s="12"/>
      <c r="AK39" s="12"/>
      <c r="AL39" s="11" t="str" cm="1">
        <f t="array" ref="AL39">IFERROR(_xlfn.XLOOKUP($I39,#REF!,_xlfn.XLOOKUP(AL$10,#REF!,#REF!,"",0,1),""),"")</f>
        <v/>
      </c>
      <c r="AM39" s="11" t="str" cm="1">
        <f t="array" ref="AM39">IFERROR(_xlfn.XLOOKUP($I39,#REF!,_xlfn.XLOOKUP(AM$10,#REF!,#REF!,"",0,1),""),"")</f>
        <v/>
      </c>
      <c r="AN39" s="11" t="str" cm="1">
        <f t="array" ref="AN39">IFERROR(_xlfn.XLOOKUP($I39,#REF!,_xlfn.XLOOKUP(AN$10,#REF!,#REF!,"",0,1),""),"")</f>
        <v/>
      </c>
      <c r="AO39" s="11" t="str" cm="1">
        <f t="array" ref="AO39">IFERROR(_xlfn.XLOOKUP($I39,#REF!,_xlfn.XLOOKUP(AO$10,#REF!,#REF!,"",0,1),""),"")</f>
        <v/>
      </c>
      <c r="AP39" s="11" t="str" cm="1">
        <f t="array" ref="AP39">IFERROR(_xlfn.XLOOKUP($I39,#REF!,_xlfn.XLOOKUP(AP$10,#REF!,#REF!,"",0,1),""),"")</f>
        <v/>
      </c>
      <c r="AQ39" s="11" t="str" cm="1">
        <f t="array" ref="AQ39">IFERROR(_xlfn.XLOOKUP($I39,#REF!,_xlfn.XLOOKUP(AQ$10,#REF!,#REF!,"",0,1),""),"")</f>
        <v/>
      </c>
      <c r="AR39" s="12" t="str" cm="1">
        <f t="array" ref="AR39">IFERROR(_xlfn.XLOOKUP($I39,#REF!,_xlfn.XLOOKUP(AR$10,#REF!,#REF!,"",0,1),""),"")</f>
        <v/>
      </c>
      <c r="AS39" s="12" t="str" cm="1">
        <f t="array" ref="AS39">IFERROR(_xlfn.XLOOKUP($I39,#REF!,_xlfn.XLOOKUP(AS$10,#REF!,#REF!,"",0,1),""),"")</f>
        <v/>
      </c>
      <c r="AT39" s="12" t="str" cm="1">
        <f t="array" ref="AT39">IFERROR(_xlfn.XLOOKUP($I39,#REF!,_xlfn.XLOOKUP(AT$10,#REF!,#REF!,"",0,1),""),"")</f>
        <v/>
      </c>
      <c r="AU39" s="12" t="str" cm="1">
        <f t="array" ref="AU39">IFERROR(_xlfn.XLOOKUP($I39,#REF!,_xlfn.XLOOKUP(AU$10,#REF!,#REF!,"",0,1),""),"")</f>
        <v/>
      </c>
      <c r="AV39" s="12" t="str" cm="1">
        <f t="array" ref="AV39">IFERROR(_xlfn.XLOOKUP($I39,#REF!,_xlfn.XLOOKUP(AV$10,#REF!,#REF!,"",0,1),""),"")</f>
        <v/>
      </c>
      <c r="AW39" s="12" t="str">
        <f>IFERROR(_xlfn.XLOOKUP($I39,#REF!,#REF!,""),"")</f>
        <v/>
      </c>
      <c r="AX39" s="12" t="str">
        <f>IFERROR(_xlfn.XLOOKUP($I39,#REF!,#REF!,""),"")</f>
        <v/>
      </c>
      <c r="AY39" s="12" t="str">
        <f>IFERROR(_xlfn.XLOOKUP($I39,#REF!,#REF!,""),"")</f>
        <v/>
      </c>
      <c r="AZ39" s="11" t="str" cm="1">
        <f t="array" ref="AZ39">IFERROR(_xlfn.XLOOKUP($I39,#REF!,_xlfn.XLOOKUP(AZ$10,#REF!,#REF!,"",0,1),""),"")</f>
        <v/>
      </c>
      <c r="BA39" s="11" t="str" cm="1">
        <f t="array" ref="BA39">IFERROR(_xlfn.XLOOKUP($I39,#REF!,_xlfn.XLOOKUP(BA$10,#REF!,#REF!,"",0,1),""),"")</f>
        <v/>
      </c>
      <c r="BB39" s="11" t="str">
        <f>IFERROR(_xlfn.XLOOKUP($I39,#REF!,#REF!,""),"")</f>
        <v/>
      </c>
      <c r="BC39" s="11" t="str">
        <f>IFERROR(_xlfn.XLOOKUP($I39,#REF!,#REF!,""),"")</f>
        <v/>
      </c>
      <c r="BD39" s="12" t="str" cm="1">
        <f t="array" ref="BD39">IFERROR(_xlfn.XLOOKUP($I39,#REF!,_xlfn.XLOOKUP(BD$10,#REF!,#REF!,"",0,1),""),"")</f>
        <v/>
      </c>
      <c r="BE39" s="12" t="str" cm="1">
        <f t="array" ref="BE39">IFERROR(_xlfn.XLOOKUP($I39,#REF!,_xlfn.XLOOKUP(BE$10,#REF!,#REF!,"",0,1),""),"")</f>
        <v/>
      </c>
      <c r="BF39" s="12" t="str" cm="1">
        <f t="array" ref="BF39">IFERROR(_xlfn.XLOOKUP($I39,#REF!,_xlfn.XLOOKUP(BF$10,#REF!,#REF!,"",0,1),""),"")</f>
        <v/>
      </c>
      <c r="BG39" s="12" t="str" cm="1">
        <f t="array" ref="BG39">IFERROR(_xlfn.XLOOKUP($I39,#REF!,_xlfn.XLOOKUP(BG$10,#REF!,#REF!,"",0,1),""),"")</f>
        <v/>
      </c>
      <c r="BH39" s="12" t="str" cm="1">
        <f t="array" ref="BH39">IFERROR(_xlfn.XLOOKUP($I39,#REF!,_xlfn.XLOOKUP(BH$10,#REF!,#REF!,"",0,1),""),"")</f>
        <v/>
      </c>
      <c r="BI39" s="12" t="str" cm="1">
        <f t="array" ref="BI39">IFERROR(_xlfn.XLOOKUP($I39,#REF!,_xlfn.XLOOKUP(BI$10,#REF!,#REF!,"",0,1),""),"")</f>
        <v/>
      </c>
      <c r="BJ39" s="12" t="str" cm="1">
        <f t="array" ref="BJ39">IFERROR(_xlfn.XLOOKUP($I39,#REF!,_xlfn.XLOOKUP(BJ$10,#REF!,#REF!,"",0,1),""),"")</f>
        <v/>
      </c>
      <c r="BK39" s="12" t="str" cm="1">
        <f t="array" ref="BK39">IFERROR(_xlfn.XLOOKUP($I39,#REF!,_xlfn.XLOOKUP(BK$10,#REF!,#REF!,"",0,1),""),"")</f>
        <v/>
      </c>
      <c r="BL39" s="12" t="str" cm="1">
        <f t="array" ref="BL39">IFERROR(_xlfn.XLOOKUP($I39,#REF!,_xlfn.XLOOKUP(BL$10,#REF!,#REF!,"",0,1),""),"")</f>
        <v/>
      </c>
      <c r="BM39" s="12" t="str">
        <f>IFERROR(_xlfn.XLOOKUP($I39,#REF!,#REF!,""),"")</f>
        <v/>
      </c>
      <c r="BN39" s="12" t="str">
        <f>IFERROR(_xlfn.XLOOKUP($I39,#REF!,#REF!,""),"")</f>
        <v/>
      </c>
      <c r="BO39" s="12" t="str">
        <f>IFERROR(_xlfn.XLOOKUP($I39,#REF!,#REF!,""),"")</f>
        <v/>
      </c>
      <c r="BP39" s="12" t="str" cm="1">
        <f t="array" ref="BP39">IFERROR(_xlfn.XLOOKUP($I39,#REF!,_xlfn.XLOOKUP(BP$10,#REF!,#REF!,"",0,1),""),"")</f>
        <v/>
      </c>
      <c r="BQ39" s="12" t="str">
        <f>IFERROR(_xlfn.XLOOKUP($I39,#REF!,#REF!,""),"")</f>
        <v/>
      </c>
      <c r="BR39" s="12" t="str">
        <f>IFERROR(_xlfn.XLOOKUP($I39,#REF!,#REF!,""),"")</f>
        <v/>
      </c>
      <c r="BS39" s="12" t="str">
        <f>IFERROR(_xlfn.XLOOKUP($I39,#REF!,#REF!,""),"")</f>
        <v/>
      </c>
      <c r="BT39" s="11" t="str">
        <f>IFERROR(_xlfn.XLOOKUP($I39,#REF!,#REF!,""),"")</f>
        <v/>
      </c>
      <c r="BU39" s="11" t="str">
        <f>IFERROR(_xlfn.XLOOKUP($I39,#REF!,#REF!,""),"")</f>
        <v/>
      </c>
      <c r="BV39" s="32" t="str">
        <f>IFERROR(_xlfn.XLOOKUP($I39,#REF!,#REF!,""),"")</f>
        <v/>
      </c>
      <c r="BW39" s="12" t="str">
        <f>IFERROR(_xlfn.XLOOKUP($I39,#REF!,#REF!,""),"")</f>
        <v/>
      </c>
    </row>
    <row r="40" spans="3:75" ht="69.599999999999994" customHeight="1" x14ac:dyDescent="0.3">
      <c r="C40" s="22" t="str">
        <f>IFERROR(_xlfn.XLOOKUP($I40,#REF!,#REF!,""),"")</f>
        <v/>
      </c>
      <c r="D40" s="19" t="str">
        <f>IFERROR(_xlfn.XLOOKUP($I40,#REF!,#REF!,""),"")</f>
        <v/>
      </c>
      <c r="E40" s="23" t="str">
        <f>IFERROR(_xlfn.XLOOKUP($I40,#REF!,#REF!,""),"")</f>
        <v/>
      </c>
      <c r="F40" s="19" t="str">
        <f>IFERROR(_xlfn.XLOOKUP($I40,#REF!,#REF!,""),"")</f>
        <v/>
      </c>
      <c r="G40" s="19" t="str">
        <f>IFERROR(_xlfn.XLOOKUP($I40,#REF!,#REF!,""),"")</f>
        <v/>
      </c>
      <c r="H40" s="19" t="str">
        <f>IFERROR(_xlfn.XLOOKUP($I40,#REF!,#REF!,""),"")</f>
        <v/>
      </c>
      <c r="I40" s="77">
        <v>91360</v>
      </c>
      <c r="J40" s="12" t="str" cm="1">
        <f t="array" ref="J40">IFERROR(_xlfn.XLOOKUP($I40,#REF!,_xlfn.XLOOKUP(J$10,#REF!,#REF!,"",0,1),""),"")</f>
        <v/>
      </c>
      <c r="K40" s="12" t="str" cm="1">
        <f t="array" ref="K40">IFERROR(_xlfn.XLOOKUP($I40,#REF!,_xlfn.XLOOKUP(K$10,#REF!,#REF!,"",0,1),""),"")</f>
        <v/>
      </c>
      <c r="L40" s="12" t="str" cm="1">
        <f t="array" ref="L40">IFERROR(_xlfn.XLOOKUP($I40,#REF!,_xlfn.XLOOKUP(L$10,#REF!,#REF!,"",0,1),""),"")</f>
        <v/>
      </c>
      <c r="M40" s="36" t="str" cm="1">
        <f t="array" ref="M40">IFERROR(_xlfn.XLOOKUP($I40,#REF!,_xlfn.XLOOKUP(M$10,#REF!,#REF!,"",0,1),""),"")</f>
        <v/>
      </c>
      <c r="N40" s="37" t="str" cm="1">
        <f t="array" ref="N40">IFERROR(_xlfn.XLOOKUP($I40,#REF!,_xlfn.XLOOKUP(N$10,#REF!,#REF!,"",0,1),""),"")</f>
        <v/>
      </c>
      <c r="O40" s="12" t="str" cm="1">
        <f t="array" ref="O40">IFERROR(_xlfn.XLOOKUP($I40,#REF!,_xlfn.XLOOKUP(O$10,#REF!,#REF!,"",0,1),""),"")</f>
        <v/>
      </c>
      <c r="P40" s="12" t="str" cm="1">
        <f t="array" ref="P40">IFERROR(_xlfn.XLOOKUP($I40,#REF!,_xlfn.XLOOKUP(P$10,#REF!,#REF!,"",0,1),""),"")</f>
        <v/>
      </c>
      <c r="Q40" s="12" t="str" cm="1">
        <f t="array" ref="Q40">IFERROR(_xlfn.XLOOKUP($I40,#REF!,_xlfn.XLOOKUP(Q$10,#REF!,#REF!,"",0,1),""),"")</f>
        <v/>
      </c>
      <c r="R40" s="12" t="str" cm="1">
        <f t="array" ref="R40">IFERROR(_xlfn.XLOOKUP($I40,#REF!,_xlfn.XLOOKUP(R$10,#REF!,#REF!,"",0,1),""),"")</f>
        <v/>
      </c>
      <c r="S40" s="12" t="str">
        <f>IFERROR(_xlfn.XLOOKUP($I40,#REF!,#REF!,""),"")</f>
        <v/>
      </c>
      <c r="T40" s="12" t="str">
        <f>IFERROR(_xlfn.XLOOKUP($I40,#REF!,#REF!,""),"")</f>
        <v/>
      </c>
      <c r="U40" s="12" t="str">
        <f>IFERROR(_xlfn.XLOOKUP($I40,#REF!,#REF!,""),"")</f>
        <v/>
      </c>
      <c r="V40" s="12" t="str">
        <f>IFERROR(_xlfn.XLOOKUP($I40,#REF!,#REF!,""),"")</f>
        <v/>
      </c>
      <c r="W40" s="74" t="str" cm="1">
        <f t="array" ref="W40">IFERROR(_xlfn.XLOOKUP($I40,#REF!,_xlfn.XLOOKUP(W$10,#REF!,#REF!,"",0,1),""),"")</f>
        <v/>
      </c>
      <c r="X40" s="74" t="str" cm="1">
        <f t="array" ref="X40">IFERROR(_xlfn.XLOOKUP($I40,#REF!,_xlfn.XLOOKUP(X$10,#REF!,#REF!,"",0,1),""),"")</f>
        <v/>
      </c>
      <c r="Y40" s="74" t="str" cm="1">
        <f t="array" ref="Y40">IFERROR(_xlfn.XLOOKUP($I40,#REF!,_xlfn.XLOOKUP(Y$10,#REF!,#REF!,"",0,1),""),"")</f>
        <v/>
      </c>
      <c r="Z40" s="74" t="str" cm="1">
        <f t="array" ref="Z40">IFERROR(_xlfn.XLOOKUP($I40,#REF!,_xlfn.XLOOKUP(Z$10,#REF!,#REF!,"",0,1),""),"")</f>
        <v/>
      </c>
      <c r="AA40" s="74" t="str" cm="1">
        <f t="array" ref="AA40">IFERROR(_xlfn.XLOOKUP($I40,#REF!,_xlfn.XLOOKUP(AA$10,#REF!,#REF!,"",0,1),""),"")</f>
        <v/>
      </c>
      <c r="AB40" s="12" t="str" cm="1">
        <f t="array" ref="AB40">IFERROR(_xlfn.XLOOKUP($I40,#REF!,_xlfn.XLOOKUP(AB$10,#REF!,#REF!,"",0,1),""),"")</f>
        <v/>
      </c>
      <c r="AC40" s="52" t="str" cm="1">
        <f t="array" ref="AC40">IFERROR(_xlfn.XLOOKUP($I40,#REF!,_xlfn.XLOOKUP(AC$10,#REF!,#REF!,"",0,1),""),"")</f>
        <v/>
      </c>
      <c r="AD40" s="12" t="str" cm="1">
        <f t="array" ref="AD40">IFERROR(_xlfn.XLOOKUP($I40,#REF!,_xlfn.XLOOKUP(AD$10,#REF!,#REF!,"",0,1),""),"")</f>
        <v/>
      </c>
      <c r="AE40" s="12"/>
      <c r="AF40" s="12" t="str" cm="1">
        <f t="array" ref="AF40">IFERROR(_xlfn.XLOOKUP($I40,#REF!,_xlfn.XLOOKUP(AF$10,#REF!,#REF!,"",0,1),""),"")</f>
        <v/>
      </c>
      <c r="AG40" s="12" t="str" cm="1">
        <f t="array" ref="AG40">IFERROR(_xlfn.XLOOKUP($I40,#REF!,_xlfn.XLOOKUP(AG$10,#REF!,#REF!,"",0,1),""),"")</f>
        <v/>
      </c>
      <c r="AH40" s="12" t="str" cm="1">
        <f t="array" ref="AH40">IFERROR(_xlfn.XLOOKUP($I40,#REF!,_xlfn.XLOOKUP(AH$10,#REF!,#REF!,"",0,1),""),"")</f>
        <v/>
      </c>
      <c r="AI40" s="12" t="str" cm="1">
        <f t="array" ref="AI40">IFERROR(_xlfn.XLOOKUP($I40,#REF!,_xlfn.XLOOKUP(AI$10,#REF!,#REF!,"",0,1),""),"")</f>
        <v/>
      </c>
      <c r="AJ40" s="12"/>
      <c r="AK40" s="12"/>
      <c r="AL40" s="11" t="str" cm="1">
        <f t="array" ref="AL40">IFERROR(_xlfn.XLOOKUP($I40,#REF!,_xlfn.XLOOKUP(AL$10,#REF!,#REF!,"",0,1),""),"")</f>
        <v/>
      </c>
      <c r="AM40" s="11" t="str" cm="1">
        <f t="array" ref="AM40">IFERROR(_xlfn.XLOOKUP($I40,#REF!,_xlfn.XLOOKUP(AM$10,#REF!,#REF!,"",0,1),""),"")</f>
        <v/>
      </c>
      <c r="AN40" s="11" t="str" cm="1">
        <f t="array" ref="AN40">IFERROR(_xlfn.XLOOKUP($I40,#REF!,_xlfn.XLOOKUP(AN$10,#REF!,#REF!,"",0,1),""),"")</f>
        <v/>
      </c>
      <c r="AO40" s="11" t="str" cm="1">
        <f t="array" ref="AO40">IFERROR(_xlfn.XLOOKUP($I40,#REF!,_xlfn.XLOOKUP(AO$10,#REF!,#REF!,"",0,1),""),"")</f>
        <v/>
      </c>
      <c r="AP40" s="11" t="str" cm="1">
        <f t="array" ref="AP40">IFERROR(_xlfn.XLOOKUP($I40,#REF!,_xlfn.XLOOKUP(AP$10,#REF!,#REF!,"",0,1),""),"")</f>
        <v/>
      </c>
      <c r="AQ40" s="11" t="str" cm="1">
        <f t="array" ref="AQ40">IFERROR(_xlfn.XLOOKUP($I40,#REF!,_xlfn.XLOOKUP(AQ$10,#REF!,#REF!,"",0,1),""),"")</f>
        <v/>
      </c>
      <c r="AR40" s="12" t="str" cm="1">
        <f t="array" ref="AR40">IFERROR(_xlfn.XLOOKUP($I40,#REF!,_xlfn.XLOOKUP(AR$10,#REF!,#REF!,"",0,1),""),"")</f>
        <v/>
      </c>
      <c r="AS40" s="12" t="str" cm="1">
        <f t="array" ref="AS40">IFERROR(_xlfn.XLOOKUP($I40,#REF!,_xlfn.XLOOKUP(AS$10,#REF!,#REF!,"",0,1),""),"")</f>
        <v/>
      </c>
      <c r="AT40" s="12" t="str" cm="1">
        <f t="array" ref="AT40">IFERROR(_xlfn.XLOOKUP($I40,#REF!,_xlfn.XLOOKUP(AT$10,#REF!,#REF!,"",0,1),""),"")</f>
        <v/>
      </c>
      <c r="AU40" s="12" t="str" cm="1">
        <f t="array" ref="AU40">IFERROR(_xlfn.XLOOKUP($I40,#REF!,_xlfn.XLOOKUP(AU$10,#REF!,#REF!,"",0,1),""),"")</f>
        <v/>
      </c>
      <c r="AV40" s="12" t="str" cm="1">
        <f t="array" ref="AV40">IFERROR(_xlfn.XLOOKUP($I40,#REF!,_xlfn.XLOOKUP(AV$10,#REF!,#REF!,"",0,1),""),"")</f>
        <v/>
      </c>
      <c r="AW40" s="12" t="str">
        <f>IFERROR(_xlfn.XLOOKUP($I40,#REF!,#REF!,""),"")</f>
        <v/>
      </c>
      <c r="AX40" s="12" t="str">
        <f>IFERROR(_xlfn.XLOOKUP($I40,#REF!,#REF!,""),"")</f>
        <v/>
      </c>
      <c r="AY40" s="12" t="str">
        <f>IFERROR(_xlfn.XLOOKUP($I40,#REF!,#REF!,""),"")</f>
        <v/>
      </c>
      <c r="AZ40" s="11" t="str" cm="1">
        <f t="array" ref="AZ40">IFERROR(_xlfn.XLOOKUP($I40,#REF!,_xlfn.XLOOKUP(AZ$10,#REF!,#REF!,"",0,1),""),"")</f>
        <v/>
      </c>
      <c r="BA40" s="11" t="str" cm="1">
        <f t="array" ref="BA40">IFERROR(_xlfn.XLOOKUP($I40,#REF!,_xlfn.XLOOKUP(BA$10,#REF!,#REF!,"",0,1),""),"")</f>
        <v/>
      </c>
      <c r="BB40" s="11" t="str">
        <f>IFERROR(_xlfn.XLOOKUP($I40,#REF!,#REF!,""),"")</f>
        <v/>
      </c>
      <c r="BC40" s="11" t="str">
        <f>IFERROR(_xlfn.XLOOKUP($I40,#REF!,#REF!,""),"")</f>
        <v/>
      </c>
      <c r="BD40" s="12" t="str" cm="1">
        <f t="array" ref="BD40">IFERROR(_xlfn.XLOOKUP($I40,#REF!,_xlfn.XLOOKUP(BD$10,#REF!,#REF!,"",0,1),""),"")</f>
        <v/>
      </c>
      <c r="BE40" s="12" t="str" cm="1">
        <f t="array" ref="BE40">IFERROR(_xlfn.XLOOKUP($I40,#REF!,_xlfn.XLOOKUP(BE$10,#REF!,#REF!,"",0,1),""),"")</f>
        <v/>
      </c>
      <c r="BF40" s="12" t="str" cm="1">
        <f t="array" ref="BF40">IFERROR(_xlfn.XLOOKUP($I40,#REF!,_xlfn.XLOOKUP(BF$10,#REF!,#REF!,"",0,1),""),"")</f>
        <v/>
      </c>
      <c r="BG40" s="12" t="str" cm="1">
        <f t="array" ref="BG40">IFERROR(_xlfn.XLOOKUP($I40,#REF!,_xlfn.XLOOKUP(BG$10,#REF!,#REF!,"",0,1),""),"")</f>
        <v/>
      </c>
      <c r="BH40" s="12" t="str" cm="1">
        <f t="array" ref="BH40">IFERROR(_xlfn.XLOOKUP($I40,#REF!,_xlfn.XLOOKUP(BH$10,#REF!,#REF!,"",0,1),""),"")</f>
        <v/>
      </c>
      <c r="BI40" s="12" t="str" cm="1">
        <f t="array" ref="BI40">IFERROR(_xlfn.XLOOKUP($I40,#REF!,_xlfn.XLOOKUP(BI$10,#REF!,#REF!,"",0,1),""),"")</f>
        <v/>
      </c>
      <c r="BJ40" s="12" t="str" cm="1">
        <f t="array" ref="BJ40">IFERROR(_xlfn.XLOOKUP($I40,#REF!,_xlfn.XLOOKUP(BJ$10,#REF!,#REF!,"",0,1),""),"")</f>
        <v/>
      </c>
      <c r="BK40" s="12" t="str" cm="1">
        <f t="array" ref="BK40">IFERROR(_xlfn.XLOOKUP($I40,#REF!,_xlfn.XLOOKUP(BK$10,#REF!,#REF!,"",0,1),""),"")</f>
        <v/>
      </c>
      <c r="BL40" s="12" t="str" cm="1">
        <f t="array" ref="BL40">IFERROR(_xlfn.XLOOKUP($I40,#REF!,_xlfn.XLOOKUP(BL$10,#REF!,#REF!,"",0,1),""),"")</f>
        <v/>
      </c>
      <c r="BM40" s="12" t="str">
        <f>IFERROR(_xlfn.XLOOKUP($I40,#REF!,#REF!,""),"")</f>
        <v/>
      </c>
      <c r="BN40" s="12" t="str">
        <f>IFERROR(_xlfn.XLOOKUP($I40,#REF!,#REF!,""),"")</f>
        <v/>
      </c>
      <c r="BO40" s="12" t="str">
        <f>IFERROR(_xlfn.XLOOKUP($I40,#REF!,#REF!,""),"")</f>
        <v/>
      </c>
      <c r="BP40" s="12" t="str" cm="1">
        <f t="array" ref="BP40">IFERROR(_xlfn.XLOOKUP($I40,#REF!,_xlfn.XLOOKUP(BP$10,#REF!,#REF!,"",0,1),""),"")</f>
        <v/>
      </c>
      <c r="BQ40" s="12" t="str">
        <f>IFERROR(_xlfn.XLOOKUP($I40,#REF!,#REF!,""),"")</f>
        <v/>
      </c>
      <c r="BR40" s="12" t="str">
        <f>IFERROR(_xlfn.XLOOKUP($I40,#REF!,#REF!,""),"")</f>
        <v/>
      </c>
      <c r="BS40" s="12" t="str">
        <f>IFERROR(_xlfn.XLOOKUP($I40,#REF!,#REF!,""),"")</f>
        <v/>
      </c>
      <c r="BT40" s="11" t="str">
        <f>IFERROR(_xlfn.XLOOKUP($I40,#REF!,#REF!,""),"")</f>
        <v/>
      </c>
      <c r="BU40" s="11" t="str">
        <f>IFERROR(_xlfn.XLOOKUP($I40,#REF!,#REF!,""),"")</f>
        <v/>
      </c>
      <c r="BV40" s="32" t="str">
        <f>IFERROR(_xlfn.XLOOKUP($I40,#REF!,#REF!,""),"")</f>
        <v/>
      </c>
      <c r="BW40" s="12" t="str">
        <f>IFERROR(_xlfn.XLOOKUP($I40,#REF!,#REF!,""),"")</f>
        <v/>
      </c>
    </row>
    <row r="41" spans="3:75" ht="52.35" customHeight="1" x14ac:dyDescent="0.3">
      <c r="C41" s="22" t="str">
        <f>IFERROR(_xlfn.XLOOKUP($I41,#REF!,#REF!,""),"")</f>
        <v/>
      </c>
      <c r="D41" s="19" t="str">
        <f>IFERROR(_xlfn.XLOOKUP($I41,#REF!,#REF!,""),"")</f>
        <v/>
      </c>
      <c r="E41" s="23" t="str">
        <f>IFERROR(_xlfn.XLOOKUP($I41,#REF!,#REF!,""),"")</f>
        <v/>
      </c>
      <c r="F41" s="19" t="str">
        <f>IFERROR(_xlfn.XLOOKUP($I41,#REF!,#REF!,""),"")</f>
        <v/>
      </c>
      <c r="G41" s="19" t="str">
        <f>IFERROR(_xlfn.XLOOKUP($I41,#REF!,#REF!,""),"")</f>
        <v/>
      </c>
      <c r="H41" s="19" t="str">
        <f>IFERROR(_xlfn.XLOOKUP($I41,#REF!,#REF!,""),"")</f>
        <v/>
      </c>
      <c r="I41" s="78">
        <v>54726</v>
      </c>
      <c r="J41" s="12" t="str" cm="1">
        <f t="array" ref="J41">IFERROR(_xlfn.XLOOKUP($I41,#REF!,_xlfn.XLOOKUP(J$10,#REF!,#REF!,"",0,1),""),"")</f>
        <v/>
      </c>
      <c r="K41" s="12" t="str" cm="1">
        <f t="array" ref="K41">IFERROR(_xlfn.XLOOKUP($I41,#REF!,_xlfn.XLOOKUP(K$10,#REF!,#REF!,"",0,1),""),"")</f>
        <v/>
      </c>
      <c r="L41" s="12" t="str" cm="1">
        <f t="array" ref="L41">IFERROR(_xlfn.XLOOKUP($I41,#REF!,_xlfn.XLOOKUP(L$10,#REF!,#REF!,"",0,1),""),"")</f>
        <v/>
      </c>
      <c r="M41" s="36" t="str" cm="1">
        <f t="array" ref="M41">IFERROR(_xlfn.XLOOKUP($I41,#REF!,_xlfn.XLOOKUP(M$10,#REF!,#REF!,"",0,1),""),"")</f>
        <v/>
      </c>
      <c r="N41" s="37" t="str" cm="1">
        <f t="array" ref="N41">IFERROR(_xlfn.XLOOKUP($I41,#REF!,_xlfn.XLOOKUP(N$10,#REF!,#REF!,"",0,1),""),"")</f>
        <v/>
      </c>
      <c r="O41" s="12" t="str" cm="1">
        <f t="array" ref="O41">IFERROR(_xlfn.XLOOKUP($I41,#REF!,_xlfn.XLOOKUP(O$10,#REF!,#REF!,"",0,1),""),"")</f>
        <v/>
      </c>
      <c r="P41" s="12" t="str" cm="1">
        <f t="array" ref="P41">IFERROR(_xlfn.XLOOKUP($I41,#REF!,_xlfn.XLOOKUP(P$10,#REF!,#REF!,"",0,1),""),"")</f>
        <v/>
      </c>
      <c r="Q41" s="12" t="str" cm="1">
        <f t="array" ref="Q41">IFERROR(_xlfn.XLOOKUP($I41,#REF!,_xlfn.XLOOKUP(Q$10,#REF!,#REF!,"",0,1),""),"")</f>
        <v/>
      </c>
      <c r="R41" s="12" t="str" cm="1">
        <f t="array" ref="R41">IFERROR(_xlfn.XLOOKUP($I41,#REF!,_xlfn.XLOOKUP(R$10,#REF!,#REF!,"",0,1),""),"")</f>
        <v/>
      </c>
      <c r="S41" s="12" t="str">
        <f>IFERROR(_xlfn.XLOOKUP($I41,#REF!,#REF!,""),"")</f>
        <v/>
      </c>
      <c r="T41" s="12" t="str">
        <f>IFERROR(_xlfn.XLOOKUP($I41,#REF!,#REF!,""),"")</f>
        <v/>
      </c>
      <c r="U41" s="12" t="str">
        <f>IFERROR(_xlfn.XLOOKUP($I41,#REF!,#REF!,""),"")</f>
        <v/>
      </c>
      <c r="V41" s="12" t="str">
        <f>IFERROR(_xlfn.XLOOKUP($I41,#REF!,#REF!,""),"")</f>
        <v/>
      </c>
      <c r="W41" s="74" t="str" cm="1">
        <f t="array" ref="W41">IFERROR(_xlfn.XLOOKUP($I41,#REF!,_xlfn.XLOOKUP(W$10,#REF!,#REF!,"",0,1),""),"")</f>
        <v/>
      </c>
      <c r="X41" s="74" t="str" cm="1">
        <f t="array" ref="X41">IFERROR(_xlfn.XLOOKUP($I41,#REF!,_xlfn.XLOOKUP(X$10,#REF!,#REF!,"",0,1),""),"")</f>
        <v/>
      </c>
      <c r="Y41" s="74" t="str" cm="1">
        <f t="array" ref="Y41">IFERROR(_xlfn.XLOOKUP($I41,#REF!,_xlfn.XLOOKUP(Y$10,#REF!,#REF!,"",0,1),""),"")</f>
        <v/>
      </c>
      <c r="Z41" s="74" t="str" cm="1">
        <f t="array" ref="Z41">IFERROR(_xlfn.XLOOKUP($I41,#REF!,_xlfn.XLOOKUP(Z$10,#REF!,#REF!,"",0,1),""),"")</f>
        <v/>
      </c>
      <c r="AA41" s="74" t="str" cm="1">
        <f t="array" ref="AA41">IFERROR(_xlfn.XLOOKUP($I41,#REF!,_xlfn.XLOOKUP(AA$10,#REF!,#REF!,"",0,1),""),"")</f>
        <v/>
      </c>
      <c r="AB41" s="12" t="str" cm="1">
        <f t="array" ref="AB41">IFERROR(_xlfn.XLOOKUP($I41,#REF!,_xlfn.XLOOKUP(AB$10,#REF!,#REF!,"",0,1),""),"")</f>
        <v/>
      </c>
      <c r="AC41" s="52" t="str" cm="1">
        <f t="array" ref="AC41">IFERROR(_xlfn.XLOOKUP($I41,#REF!,_xlfn.XLOOKUP(AC$10,#REF!,#REF!,"",0,1),""),"")</f>
        <v/>
      </c>
      <c r="AD41" s="12" t="str" cm="1">
        <f t="array" ref="AD41">IFERROR(_xlfn.XLOOKUP($I41,#REF!,_xlfn.XLOOKUP(AD$10,#REF!,#REF!,"",0,1),""),"")</f>
        <v/>
      </c>
      <c r="AE41" s="12"/>
      <c r="AF41" s="12" t="str" cm="1">
        <f t="array" ref="AF41">IFERROR(_xlfn.XLOOKUP($I41,#REF!,_xlfn.XLOOKUP(AF$10,#REF!,#REF!,"",0,1),""),"")</f>
        <v/>
      </c>
      <c r="AG41" s="12" t="str" cm="1">
        <f t="array" ref="AG41">IFERROR(_xlfn.XLOOKUP($I41,#REF!,_xlfn.XLOOKUP(AG$10,#REF!,#REF!,"",0,1),""),"")</f>
        <v/>
      </c>
      <c r="AH41" s="12" t="str" cm="1">
        <f t="array" ref="AH41">IFERROR(_xlfn.XLOOKUP($I41,#REF!,_xlfn.XLOOKUP(AH$10,#REF!,#REF!,"",0,1),""),"")</f>
        <v/>
      </c>
      <c r="AI41" s="12" t="str" cm="1">
        <f t="array" ref="AI41">IFERROR(_xlfn.XLOOKUP($I41,#REF!,_xlfn.XLOOKUP(AI$10,#REF!,#REF!,"",0,1),""),"")</f>
        <v/>
      </c>
      <c r="AJ41" s="12"/>
      <c r="AK41" s="12"/>
      <c r="AL41" s="11" t="str" cm="1">
        <f t="array" ref="AL41">IFERROR(_xlfn.XLOOKUP($I41,#REF!,_xlfn.XLOOKUP(AL$10,#REF!,#REF!,"",0,1),""),"")</f>
        <v/>
      </c>
      <c r="AM41" s="11" t="str" cm="1">
        <f t="array" ref="AM41">IFERROR(_xlfn.XLOOKUP($I41,#REF!,_xlfn.XLOOKUP(AM$10,#REF!,#REF!,"",0,1),""),"")</f>
        <v/>
      </c>
      <c r="AN41" s="11" t="str" cm="1">
        <f t="array" ref="AN41">IFERROR(_xlfn.XLOOKUP($I41,#REF!,_xlfn.XLOOKUP(AN$10,#REF!,#REF!,"",0,1),""),"")</f>
        <v/>
      </c>
      <c r="AO41" s="11" t="str" cm="1">
        <f t="array" ref="AO41">IFERROR(_xlfn.XLOOKUP($I41,#REF!,_xlfn.XLOOKUP(AO$10,#REF!,#REF!,"",0,1),""),"")</f>
        <v/>
      </c>
      <c r="AP41" s="11" t="str" cm="1">
        <f t="array" ref="AP41">IFERROR(_xlfn.XLOOKUP($I41,#REF!,_xlfn.XLOOKUP(AP$10,#REF!,#REF!,"",0,1),""),"")</f>
        <v/>
      </c>
      <c r="AQ41" s="11" t="str" cm="1">
        <f t="array" ref="AQ41">IFERROR(_xlfn.XLOOKUP($I41,#REF!,_xlfn.XLOOKUP(AQ$10,#REF!,#REF!,"",0,1),""),"")</f>
        <v/>
      </c>
      <c r="AR41" s="12" t="str" cm="1">
        <f t="array" ref="AR41">IFERROR(_xlfn.XLOOKUP($I41,#REF!,_xlfn.XLOOKUP(AR$10,#REF!,#REF!,"",0,1),""),"")</f>
        <v/>
      </c>
      <c r="AS41" s="12" t="str" cm="1">
        <f t="array" ref="AS41">IFERROR(_xlfn.XLOOKUP($I41,#REF!,_xlfn.XLOOKUP(AS$10,#REF!,#REF!,"",0,1),""),"")</f>
        <v/>
      </c>
      <c r="AT41" s="12" t="str" cm="1">
        <f t="array" ref="AT41">IFERROR(_xlfn.XLOOKUP($I41,#REF!,_xlfn.XLOOKUP(AT$10,#REF!,#REF!,"",0,1),""),"")</f>
        <v/>
      </c>
      <c r="AU41" s="12" t="str" cm="1">
        <f t="array" ref="AU41">IFERROR(_xlfn.XLOOKUP($I41,#REF!,_xlfn.XLOOKUP(AU$10,#REF!,#REF!,"",0,1),""),"")</f>
        <v/>
      </c>
      <c r="AV41" s="12" t="str" cm="1">
        <f t="array" ref="AV41">IFERROR(_xlfn.XLOOKUP($I41,#REF!,_xlfn.XLOOKUP(AV$10,#REF!,#REF!,"",0,1),""),"")</f>
        <v/>
      </c>
      <c r="AW41" s="12" t="str">
        <f>IFERROR(_xlfn.XLOOKUP($I41,#REF!,#REF!,""),"")</f>
        <v/>
      </c>
      <c r="AX41" s="12" t="str">
        <f>IFERROR(_xlfn.XLOOKUP($I41,#REF!,#REF!,""),"")</f>
        <v/>
      </c>
      <c r="AY41" s="12" t="str">
        <f>IFERROR(_xlfn.XLOOKUP($I41,#REF!,#REF!,""),"")</f>
        <v/>
      </c>
      <c r="AZ41" s="11" t="str" cm="1">
        <f t="array" ref="AZ41">IFERROR(_xlfn.XLOOKUP($I41,#REF!,_xlfn.XLOOKUP(AZ$10,#REF!,#REF!,"",0,1),""),"")</f>
        <v/>
      </c>
      <c r="BA41" s="11" t="str" cm="1">
        <f t="array" ref="BA41">IFERROR(_xlfn.XLOOKUP($I41,#REF!,_xlfn.XLOOKUP(BA$10,#REF!,#REF!,"",0,1),""),"")</f>
        <v/>
      </c>
      <c r="BB41" s="11" t="str">
        <f>IFERROR(_xlfn.XLOOKUP($I41,#REF!,#REF!,""),"")</f>
        <v/>
      </c>
      <c r="BC41" s="11" t="str">
        <f>IFERROR(_xlfn.XLOOKUP($I41,#REF!,#REF!,""),"")</f>
        <v/>
      </c>
      <c r="BD41" s="12" t="str" cm="1">
        <f t="array" ref="BD41">IFERROR(_xlfn.XLOOKUP($I41,#REF!,_xlfn.XLOOKUP(BD$10,#REF!,#REF!,"",0,1),""),"")</f>
        <v/>
      </c>
      <c r="BE41" s="12" t="str" cm="1">
        <f t="array" ref="BE41">IFERROR(_xlfn.XLOOKUP($I41,#REF!,_xlfn.XLOOKUP(BE$10,#REF!,#REF!,"",0,1),""),"")</f>
        <v/>
      </c>
      <c r="BF41" s="12" t="str" cm="1">
        <f t="array" ref="BF41">IFERROR(_xlfn.XLOOKUP($I41,#REF!,_xlfn.XLOOKUP(BF$10,#REF!,#REF!,"",0,1),""),"")</f>
        <v/>
      </c>
      <c r="BG41" s="12" t="str" cm="1">
        <f t="array" ref="BG41">IFERROR(_xlfn.XLOOKUP($I41,#REF!,_xlfn.XLOOKUP(BG$10,#REF!,#REF!,"",0,1),""),"")</f>
        <v/>
      </c>
      <c r="BH41" s="12" t="str" cm="1">
        <f t="array" ref="BH41">IFERROR(_xlfn.XLOOKUP($I41,#REF!,_xlfn.XLOOKUP(BH$10,#REF!,#REF!,"",0,1),""),"")</f>
        <v/>
      </c>
      <c r="BI41" s="12" t="str" cm="1">
        <f t="array" ref="BI41">IFERROR(_xlfn.XLOOKUP($I41,#REF!,_xlfn.XLOOKUP(BI$10,#REF!,#REF!,"",0,1),""),"")</f>
        <v/>
      </c>
      <c r="BJ41" s="12" t="str" cm="1">
        <f t="array" ref="BJ41">IFERROR(_xlfn.XLOOKUP($I41,#REF!,_xlfn.XLOOKUP(BJ$10,#REF!,#REF!,"",0,1),""),"")</f>
        <v/>
      </c>
      <c r="BK41" s="12" t="str" cm="1">
        <f t="array" ref="BK41">IFERROR(_xlfn.XLOOKUP($I41,#REF!,_xlfn.XLOOKUP(BK$10,#REF!,#REF!,"",0,1),""),"")</f>
        <v/>
      </c>
      <c r="BL41" s="12" t="str" cm="1">
        <f t="array" ref="BL41">IFERROR(_xlfn.XLOOKUP($I41,#REF!,_xlfn.XLOOKUP(BL$10,#REF!,#REF!,"",0,1),""),"")</f>
        <v/>
      </c>
      <c r="BM41" s="12" t="str">
        <f>IFERROR(_xlfn.XLOOKUP($I41,#REF!,#REF!,""),"")</f>
        <v/>
      </c>
      <c r="BN41" s="12" t="str">
        <f>IFERROR(_xlfn.XLOOKUP($I41,#REF!,#REF!,""),"")</f>
        <v/>
      </c>
      <c r="BO41" s="12" t="str">
        <f>IFERROR(_xlfn.XLOOKUP($I41,#REF!,#REF!,""),"")</f>
        <v/>
      </c>
      <c r="BP41" s="12" t="str" cm="1">
        <f t="array" ref="BP41">IFERROR(_xlfn.XLOOKUP($I41,#REF!,_xlfn.XLOOKUP(BP$10,#REF!,#REF!,"",0,1),""),"")</f>
        <v/>
      </c>
      <c r="BQ41" s="12" t="str">
        <f>IFERROR(_xlfn.XLOOKUP($I41,#REF!,#REF!,""),"")</f>
        <v/>
      </c>
      <c r="BR41" s="12" t="str">
        <f>IFERROR(_xlfn.XLOOKUP($I41,#REF!,#REF!,""),"")</f>
        <v/>
      </c>
      <c r="BS41" s="12" t="str">
        <f>IFERROR(_xlfn.XLOOKUP($I41,#REF!,#REF!,""),"")</f>
        <v/>
      </c>
      <c r="BT41" s="11" t="str">
        <f>IFERROR(_xlfn.XLOOKUP($I41,#REF!,#REF!,""),"")</f>
        <v/>
      </c>
      <c r="BU41" s="11" t="str">
        <f>IFERROR(_xlfn.XLOOKUP($I41,#REF!,#REF!,""),"")</f>
        <v/>
      </c>
      <c r="BV41" s="32" t="str">
        <f>IFERROR(_xlfn.XLOOKUP($I41,#REF!,#REF!,""),"")</f>
        <v/>
      </c>
      <c r="BW41" s="12" t="str">
        <f>IFERROR(_xlfn.XLOOKUP($I41,#REF!,#REF!,""),"")</f>
        <v/>
      </c>
    </row>
    <row r="42" spans="3:75" ht="52.35" customHeight="1" x14ac:dyDescent="0.3">
      <c r="C42" s="22" t="str">
        <f>IFERROR(_xlfn.XLOOKUP($I42,#REF!,#REF!,""),"")</f>
        <v/>
      </c>
      <c r="D42" s="19" t="str">
        <f>IFERROR(_xlfn.XLOOKUP($I42,#REF!,#REF!,""),"")</f>
        <v/>
      </c>
      <c r="E42" s="23" t="str">
        <f>IFERROR(_xlfn.XLOOKUP($I42,#REF!,#REF!,""),"")</f>
        <v/>
      </c>
      <c r="F42" s="19" t="str">
        <f>IFERROR(_xlfn.XLOOKUP($I42,#REF!,#REF!,""),"")</f>
        <v/>
      </c>
      <c r="G42" s="19" t="str">
        <f>IFERROR(_xlfn.XLOOKUP($I42,#REF!,#REF!,""),"")</f>
        <v/>
      </c>
      <c r="H42" s="19" t="str">
        <f>IFERROR(_xlfn.XLOOKUP($I42,#REF!,#REF!,""),"")</f>
        <v/>
      </c>
      <c r="I42" s="77">
        <v>110697</v>
      </c>
      <c r="J42" s="12" t="str" cm="1">
        <f t="array" ref="J42">IFERROR(_xlfn.XLOOKUP($I42,#REF!,_xlfn.XLOOKUP(J$10,#REF!,#REF!,"",0,1),""),"")</f>
        <v/>
      </c>
      <c r="K42" s="12" t="str" cm="1">
        <f t="array" ref="K42">IFERROR(_xlfn.XLOOKUP($I42,#REF!,_xlfn.XLOOKUP(K$10,#REF!,#REF!,"",0,1),""),"")</f>
        <v/>
      </c>
      <c r="L42" s="12" t="str" cm="1">
        <f t="array" ref="L42">IFERROR(_xlfn.XLOOKUP($I42,#REF!,_xlfn.XLOOKUP(L$10,#REF!,#REF!,"",0,1),""),"")</f>
        <v/>
      </c>
      <c r="M42" s="36" t="str" cm="1">
        <f t="array" ref="M42">IFERROR(_xlfn.XLOOKUP($I42,#REF!,_xlfn.XLOOKUP(M$10,#REF!,#REF!,"",0,1),""),"")</f>
        <v/>
      </c>
      <c r="N42" s="37" t="str" cm="1">
        <f t="array" ref="N42">IFERROR(_xlfn.XLOOKUP($I42,#REF!,_xlfn.XLOOKUP(N$10,#REF!,#REF!,"",0,1),""),"")</f>
        <v/>
      </c>
      <c r="O42" s="12" t="str" cm="1">
        <f t="array" ref="O42">IFERROR(_xlfn.XLOOKUP($I42,#REF!,_xlfn.XLOOKUP(O$10,#REF!,#REF!,"",0,1),""),"")</f>
        <v/>
      </c>
      <c r="P42" s="12" t="str" cm="1">
        <f t="array" ref="P42">IFERROR(_xlfn.XLOOKUP($I42,#REF!,_xlfn.XLOOKUP(P$10,#REF!,#REF!,"",0,1),""),"")</f>
        <v/>
      </c>
      <c r="Q42" s="12" t="str" cm="1">
        <f t="array" ref="Q42">IFERROR(_xlfn.XLOOKUP($I42,#REF!,_xlfn.XLOOKUP(Q$10,#REF!,#REF!,"",0,1),""),"")</f>
        <v/>
      </c>
      <c r="R42" s="12" t="str" cm="1">
        <f t="array" ref="R42">IFERROR(_xlfn.XLOOKUP($I42,#REF!,_xlfn.XLOOKUP(R$10,#REF!,#REF!,"",0,1),""),"")</f>
        <v/>
      </c>
      <c r="S42" s="12" t="str">
        <f>IFERROR(_xlfn.XLOOKUP($I42,#REF!,#REF!,""),"")</f>
        <v/>
      </c>
      <c r="T42" s="12" t="str">
        <f>IFERROR(_xlfn.XLOOKUP($I42,#REF!,#REF!,""),"")</f>
        <v/>
      </c>
      <c r="U42" s="12" t="str">
        <f>IFERROR(_xlfn.XLOOKUP($I42,#REF!,#REF!,""),"")</f>
        <v/>
      </c>
      <c r="V42" s="12" t="str">
        <f>IFERROR(_xlfn.XLOOKUP($I42,#REF!,#REF!,""),"")</f>
        <v/>
      </c>
      <c r="W42" s="74" t="str" cm="1">
        <f t="array" ref="W42">IFERROR(_xlfn.XLOOKUP($I42,#REF!,_xlfn.XLOOKUP(W$10,#REF!,#REF!,"",0,1),""),"")</f>
        <v/>
      </c>
      <c r="X42" s="74" t="str" cm="1">
        <f t="array" ref="X42">IFERROR(_xlfn.XLOOKUP($I42,#REF!,_xlfn.XLOOKUP(X$10,#REF!,#REF!,"",0,1),""),"")</f>
        <v/>
      </c>
      <c r="Y42" s="74" t="str" cm="1">
        <f t="array" ref="Y42">IFERROR(_xlfn.XLOOKUP($I42,#REF!,_xlfn.XLOOKUP(Y$10,#REF!,#REF!,"",0,1),""),"")</f>
        <v/>
      </c>
      <c r="Z42" s="74" t="str" cm="1">
        <f t="array" ref="Z42">IFERROR(_xlfn.XLOOKUP($I42,#REF!,_xlfn.XLOOKUP(Z$10,#REF!,#REF!,"",0,1),""),"")</f>
        <v/>
      </c>
      <c r="AA42" s="74" t="str" cm="1">
        <f t="array" ref="AA42">IFERROR(_xlfn.XLOOKUP($I42,#REF!,_xlfn.XLOOKUP(AA$10,#REF!,#REF!,"",0,1),""),"")</f>
        <v/>
      </c>
      <c r="AB42" s="12" t="str" cm="1">
        <f t="array" ref="AB42">IFERROR(_xlfn.XLOOKUP($I42,#REF!,_xlfn.XLOOKUP(AB$10,#REF!,#REF!,"",0,1),""),"")</f>
        <v/>
      </c>
      <c r="AC42" s="52" t="str" cm="1">
        <f t="array" ref="AC42">IFERROR(_xlfn.XLOOKUP($I42,#REF!,_xlfn.XLOOKUP(AC$10,#REF!,#REF!,"",0,1),""),"")</f>
        <v/>
      </c>
      <c r="AD42" s="12" t="str" cm="1">
        <f t="array" ref="AD42">IFERROR(_xlfn.XLOOKUP($I42,#REF!,_xlfn.XLOOKUP(AD$10,#REF!,#REF!,"",0,1),""),"")</f>
        <v/>
      </c>
      <c r="AE42" s="12"/>
      <c r="AF42" s="12" t="str" cm="1">
        <f t="array" ref="AF42">IFERROR(_xlfn.XLOOKUP($I42,#REF!,_xlfn.XLOOKUP(AF$10,#REF!,#REF!,"",0,1),""),"")</f>
        <v/>
      </c>
      <c r="AG42" s="12" t="str" cm="1">
        <f t="array" ref="AG42">IFERROR(_xlfn.XLOOKUP($I42,#REF!,_xlfn.XLOOKUP(AG$10,#REF!,#REF!,"",0,1),""),"")</f>
        <v/>
      </c>
      <c r="AH42" s="12" t="str" cm="1">
        <f t="array" ref="AH42">IFERROR(_xlfn.XLOOKUP($I42,#REF!,_xlfn.XLOOKUP(AH$10,#REF!,#REF!,"",0,1),""),"")</f>
        <v/>
      </c>
      <c r="AI42" s="12" t="str" cm="1">
        <f t="array" ref="AI42">IFERROR(_xlfn.XLOOKUP($I42,#REF!,_xlfn.XLOOKUP(AI$10,#REF!,#REF!,"",0,1),""),"")</f>
        <v/>
      </c>
      <c r="AJ42" s="12"/>
      <c r="AK42" s="12"/>
      <c r="AL42" s="11" t="str" cm="1">
        <f t="array" ref="AL42">IFERROR(_xlfn.XLOOKUP($I42,#REF!,_xlfn.XLOOKUP(AL$10,#REF!,#REF!,"",0,1),""),"")</f>
        <v/>
      </c>
      <c r="AM42" s="11" t="str" cm="1">
        <f t="array" ref="AM42">IFERROR(_xlfn.XLOOKUP($I42,#REF!,_xlfn.XLOOKUP(AM$10,#REF!,#REF!,"",0,1),""),"")</f>
        <v/>
      </c>
      <c r="AN42" s="11" t="str" cm="1">
        <f t="array" ref="AN42">IFERROR(_xlfn.XLOOKUP($I42,#REF!,_xlfn.XLOOKUP(AN$10,#REF!,#REF!,"",0,1),""),"")</f>
        <v/>
      </c>
      <c r="AO42" s="11" t="str" cm="1">
        <f t="array" ref="AO42">IFERROR(_xlfn.XLOOKUP($I42,#REF!,_xlfn.XLOOKUP(AO$10,#REF!,#REF!,"",0,1),""),"")</f>
        <v/>
      </c>
      <c r="AP42" s="11" t="str" cm="1">
        <f t="array" ref="AP42">IFERROR(_xlfn.XLOOKUP($I42,#REF!,_xlfn.XLOOKUP(AP$10,#REF!,#REF!,"",0,1),""),"")</f>
        <v/>
      </c>
      <c r="AQ42" s="11" t="str" cm="1">
        <f t="array" ref="AQ42">IFERROR(_xlfn.XLOOKUP($I42,#REF!,_xlfn.XLOOKUP(AQ$10,#REF!,#REF!,"",0,1),""),"")</f>
        <v/>
      </c>
      <c r="AR42" s="12" t="str" cm="1">
        <f t="array" ref="AR42">IFERROR(_xlfn.XLOOKUP($I42,#REF!,_xlfn.XLOOKUP(AR$10,#REF!,#REF!,"",0,1),""),"")</f>
        <v/>
      </c>
      <c r="AS42" s="12" t="str" cm="1">
        <f t="array" ref="AS42">IFERROR(_xlfn.XLOOKUP($I42,#REF!,_xlfn.XLOOKUP(AS$10,#REF!,#REF!,"",0,1),""),"")</f>
        <v/>
      </c>
      <c r="AT42" s="12" t="str" cm="1">
        <f t="array" ref="AT42">IFERROR(_xlfn.XLOOKUP($I42,#REF!,_xlfn.XLOOKUP(AT$10,#REF!,#REF!,"",0,1),""),"")</f>
        <v/>
      </c>
      <c r="AU42" s="12" t="str" cm="1">
        <f t="array" ref="AU42">IFERROR(_xlfn.XLOOKUP($I42,#REF!,_xlfn.XLOOKUP(AU$10,#REF!,#REF!,"",0,1),""),"")</f>
        <v/>
      </c>
      <c r="AV42" s="12" t="str" cm="1">
        <f t="array" ref="AV42">IFERROR(_xlfn.XLOOKUP($I42,#REF!,_xlfn.XLOOKUP(AV$10,#REF!,#REF!,"",0,1),""),"")</f>
        <v/>
      </c>
      <c r="AW42" s="12" t="str">
        <f>IFERROR(_xlfn.XLOOKUP($I42,#REF!,#REF!,""),"")</f>
        <v/>
      </c>
      <c r="AX42" s="12" t="str">
        <f>IFERROR(_xlfn.XLOOKUP($I42,#REF!,#REF!,""),"")</f>
        <v/>
      </c>
      <c r="AY42" s="12" t="str">
        <f>IFERROR(_xlfn.XLOOKUP($I42,#REF!,#REF!,""),"")</f>
        <v/>
      </c>
      <c r="AZ42" s="11" t="str" cm="1">
        <f t="array" ref="AZ42">IFERROR(_xlfn.XLOOKUP($I42,#REF!,_xlfn.XLOOKUP(AZ$10,#REF!,#REF!,"",0,1),""),"")</f>
        <v/>
      </c>
      <c r="BA42" s="11" t="str" cm="1">
        <f t="array" ref="BA42">IFERROR(_xlfn.XLOOKUP($I42,#REF!,_xlfn.XLOOKUP(BA$10,#REF!,#REF!,"",0,1),""),"")</f>
        <v/>
      </c>
      <c r="BB42" s="11" t="str">
        <f>IFERROR(_xlfn.XLOOKUP($I42,#REF!,#REF!,""),"")</f>
        <v/>
      </c>
      <c r="BC42" s="11" t="str">
        <f>IFERROR(_xlfn.XLOOKUP($I42,#REF!,#REF!,""),"")</f>
        <v/>
      </c>
      <c r="BD42" s="12" t="str" cm="1">
        <f t="array" ref="BD42">IFERROR(_xlfn.XLOOKUP($I42,#REF!,_xlfn.XLOOKUP(BD$10,#REF!,#REF!,"",0,1),""),"")</f>
        <v/>
      </c>
      <c r="BE42" s="12" t="str" cm="1">
        <f t="array" ref="BE42">IFERROR(_xlfn.XLOOKUP($I42,#REF!,_xlfn.XLOOKUP(BE$10,#REF!,#REF!,"",0,1),""),"")</f>
        <v/>
      </c>
      <c r="BF42" s="12" t="str" cm="1">
        <f t="array" ref="BF42">IFERROR(_xlfn.XLOOKUP($I42,#REF!,_xlfn.XLOOKUP(BF$10,#REF!,#REF!,"",0,1),""),"")</f>
        <v/>
      </c>
      <c r="BG42" s="12" t="str" cm="1">
        <f t="array" ref="BG42">IFERROR(_xlfn.XLOOKUP($I42,#REF!,_xlfn.XLOOKUP(BG$10,#REF!,#REF!,"",0,1),""),"")</f>
        <v/>
      </c>
      <c r="BH42" s="12" t="str" cm="1">
        <f t="array" ref="BH42">IFERROR(_xlfn.XLOOKUP($I42,#REF!,_xlfn.XLOOKUP(BH$10,#REF!,#REF!,"",0,1),""),"")</f>
        <v/>
      </c>
      <c r="BI42" s="12" t="str" cm="1">
        <f t="array" ref="BI42">IFERROR(_xlfn.XLOOKUP($I42,#REF!,_xlfn.XLOOKUP(BI$10,#REF!,#REF!,"",0,1),""),"")</f>
        <v/>
      </c>
      <c r="BJ42" s="12" t="str" cm="1">
        <f t="array" ref="BJ42">IFERROR(_xlfn.XLOOKUP($I42,#REF!,_xlfn.XLOOKUP(BJ$10,#REF!,#REF!,"",0,1),""),"")</f>
        <v/>
      </c>
      <c r="BK42" s="12" t="str" cm="1">
        <f t="array" ref="BK42">IFERROR(_xlfn.XLOOKUP($I42,#REF!,_xlfn.XLOOKUP(BK$10,#REF!,#REF!,"",0,1),""),"")</f>
        <v/>
      </c>
      <c r="BL42" s="12" t="str" cm="1">
        <f t="array" ref="BL42">IFERROR(_xlfn.XLOOKUP($I42,#REF!,_xlfn.XLOOKUP(BL$10,#REF!,#REF!,"",0,1),""),"")</f>
        <v/>
      </c>
      <c r="BM42" s="12" t="str">
        <f>IFERROR(_xlfn.XLOOKUP($I42,#REF!,#REF!,""),"")</f>
        <v/>
      </c>
      <c r="BN42" s="12" t="str">
        <f>IFERROR(_xlfn.XLOOKUP($I42,#REF!,#REF!,""),"")</f>
        <v/>
      </c>
      <c r="BO42" s="12" t="str">
        <f>IFERROR(_xlfn.XLOOKUP($I42,#REF!,#REF!,""),"")</f>
        <v/>
      </c>
      <c r="BP42" s="12" t="str" cm="1">
        <f t="array" ref="BP42">IFERROR(_xlfn.XLOOKUP($I42,#REF!,_xlfn.XLOOKUP(BP$10,#REF!,#REF!,"",0,1),""),"")</f>
        <v/>
      </c>
      <c r="BQ42" s="12" t="str">
        <f>IFERROR(_xlfn.XLOOKUP($I42,#REF!,#REF!,""),"")</f>
        <v/>
      </c>
      <c r="BR42" s="12" t="str">
        <f>IFERROR(_xlfn.XLOOKUP($I42,#REF!,#REF!,""),"")</f>
        <v/>
      </c>
      <c r="BS42" s="12" t="str">
        <f>IFERROR(_xlfn.XLOOKUP($I42,#REF!,#REF!,""),"")</f>
        <v/>
      </c>
      <c r="BT42" s="11" t="str">
        <f>IFERROR(_xlfn.XLOOKUP($I42,#REF!,#REF!,""),"")</f>
        <v/>
      </c>
      <c r="BU42" s="11" t="str">
        <f>IFERROR(_xlfn.XLOOKUP($I42,#REF!,#REF!,""),"")</f>
        <v/>
      </c>
      <c r="BV42" s="32" t="str">
        <f>IFERROR(_xlfn.XLOOKUP($I42,#REF!,#REF!,""),"")</f>
        <v/>
      </c>
      <c r="BW42" s="12" t="str">
        <f>IFERROR(_xlfn.XLOOKUP($I42,#REF!,#REF!,""),"")</f>
        <v/>
      </c>
    </row>
    <row r="43" spans="3:75" ht="52.35" customHeight="1" x14ac:dyDescent="0.3">
      <c r="C43" s="22" t="str">
        <f>IFERROR(_xlfn.XLOOKUP($I43,#REF!,#REF!,""),"")</f>
        <v/>
      </c>
      <c r="D43" s="19" t="str">
        <f>IFERROR(_xlfn.XLOOKUP($I43,#REF!,#REF!,""),"")</f>
        <v/>
      </c>
      <c r="E43" s="23" t="str">
        <f>IFERROR(_xlfn.XLOOKUP($I43,#REF!,#REF!,""),"")</f>
        <v/>
      </c>
      <c r="F43" s="19" t="str">
        <f>IFERROR(_xlfn.XLOOKUP($I43,#REF!,#REF!,""),"")</f>
        <v/>
      </c>
      <c r="G43" s="19" t="str">
        <f>IFERROR(_xlfn.XLOOKUP($I43,#REF!,#REF!,""),"")</f>
        <v/>
      </c>
      <c r="H43" s="19" t="str">
        <f>IFERROR(_xlfn.XLOOKUP($I43,#REF!,#REF!,""),"")</f>
        <v/>
      </c>
      <c r="I43" s="77">
        <v>103640</v>
      </c>
      <c r="J43" s="12" t="str" cm="1">
        <f t="array" ref="J43">IFERROR(_xlfn.XLOOKUP($I43,#REF!,_xlfn.XLOOKUP(J$10,#REF!,#REF!,"",0,1),""),"")</f>
        <v/>
      </c>
      <c r="K43" s="12" t="str" cm="1">
        <f t="array" ref="K43">IFERROR(_xlfn.XLOOKUP($I43,#REF!,_xlfn.XLOOKUP(K$10,#REF!,#REF!,"",0,1),""),"")</f>
        <v/>
      </c>
      <c r="L43" s="12" t="str" cm="1">
        <f t="array" ref="L43">IFERROR(_xlfn.XLOOKUP($I43,#REF!,_xlfn.XLOOKUP(L$10,#REF!,#REF!,"",0,1),""),"")</f>
        <v/>
      </c>
      <c r="M43" s="36" t="str" cm="1">
        <f t="array" ref="M43">IFERROR(_xlfn.XLOOKUP($I43,#REF!,_xlfn.XLOOKUP(M$10,#REF!,#REF!,"",0,1),""),"")</f>
        <v/>
      </c>
      <c r="N43" s="37" t="str" cm="1">
        <f t="array" ref="N43">IFERROR(_xlfn.XLOOKUP($I43,#REF!,_xlfn.XLOOKUP(N$10,#REF!,#REF!,"",0,1),""),"")</f>
        <v/>
      </c>
      <c r="O43" s="12" t="str" cm="1">
        <f t="array" ref="O43">IFERROR(_xlfn.XLOOKUP($I43,#REF!,_xlfn.XLOOKUP(O$10,#REF!,#REF!,"",0,1),""),"")</f>
        <v/>
      </c>
      <c r="P43" s="12" t="str" cm="1">
        <f t="array" ref="P43">IFERROR(_xlfn.XLOOKUP($I43,#REF!,_xlfn.XLOOKUP(P$10,#REF!,#REF!,"",0,1),""),"")</f>
        <v/>
      </c>
      <c r="Q43" s="12" t="str" cm="1">
        <f t="array" ref="Q43">IFERROR(_xlfn.XLOOKUP($I43,#REF!,_xlfn.XLOOKUP(Q$10,#REF!,#REF!,"",0,1),""),"")</f>
        <v/>
      </c>
      <c r="R43" s="12" t="str" cm="1">
        <f t="array" ref="R43">IFERROR(_xlfn.XLOOKUP($I43,#REF!,_xlfn.XLOOKUP(R$10,#REF!,#REF!,"",0,1),""),"")</f>
        <v/>
      </c>
      <c r="S43" s="12" t="str">
        <f>IFERROR(_xlfn.XLOOKUP($I43,#REF!,#REF!,""),"")</f>
        <v/>
      </c>
      <c r="T43" s="12" t="str">
        <f>IFERROR(_xlfn.XLOOKUP($I43,#REF!,#REF!,""),"")</f>
        <v/>
      </c>
      <c r="U43" s="12" t="str">
        <f>IFERROR(_xlfn.XLOOKUP($I43,#REF!,#REF!,""),"")</f>
        <v/>
      </c>
      <c r="V43" s="12" t="str">
        <f>IFERROR(_xlfn.XLOOKUP($I43,#REF!,#REF!,""),"")</f>
        <v/>
      </c>
      <c r="W43" s="74" t="str" cm="1">
        <f t="array" ref="W43">IFERROR(_xlfn.XLOOKUP($I43,#REF!,_xlfn.XLOOKUP(W$10,#REF!,#REF!,"",0,1),""),"")</f>
        <v/>
      </c>
      <c r="X43" s="74" t="str" cm="1">
        <f t="array" ref="X43">IFERROR(_xlfn.XLOOKUP($I43,#REF!,_xlfn.XLOOKUP(X$10,#REF!,#REF!,"",0,1),""),"")</f>
        <v/>
      </c>
      <c r="Y43" s="74" t="str" cm="1">
        <f t="array" ref="Y43">IFERROR(_xlfn.XLOOKUP($I43,#REF!,_xlfn.XLOOKUP(Y$10,#REF!,#REF!,"",0,1),""),"")</f>
        <v/>
      </c>
      <c r="Z43" s="74" t="str" cm="1">
        <f t="array" ref="Z43">IFERROR(_xlfn.XLOOKUP($I43,#REF!,_xlfn.XLOOKUP(Z$10,#REF!,#REF!,"",0,1),""),"")</f>
        <v/>
      </c>
      <c r="AA43" s="74" t="str" cm="1">
        <f t="array" ref="AA43">IFERROR(_xlfn.XLOOKUP($I43,#REF!,_xlfn.XLOOKUP(AA$10,#REF!,#REF!,"",0,1),""),"")</f>
        <v/>
      </c>
      <c r="AB43" s="12" t="str" cm="1">
        <f t="array" ref="AB43">IFERROR(_xlfn.XLOOKUP($I43,#REF!,_xlfn.XLOOKUP(AB$10,#REF!,#REF!,"",0,1),""),"")</f>
        <v/>
      </c>
      <c r="AC43" s="52" t="str" cm="1">
        <f t="array" ref="AC43">IFERROR(_xlfn.XLOOKUP($I43,#REF!,_xlfn.XLOOKUP(AC$10,#REF!,#REF!,"",0,1),""),"")</f>
        <v/>
      </c>
      <c r="AD43" s="12" t="str" cm="1">
        <f t="array" ref="AD43">IFERROR(_xlfn.XLOOKUP($I43,#REF!,_xlfn.XLOOKUP(AD$10,#REF!,#REF!,"",0,1),""),"")</f>
        <v/>
      </c>
      <c r="AE43" s="12"/>
      <c r="AF43" s="12" t="str" cm="1">
        <f t="array" ref="AF43">IFERROR(_xlfn.XLOOKUP($I43,#REF!,_xlfn.XLOOKUP(AF$10,#REF!,#REF!,"",0,1),""),"")</f>
        <v/>
      </c>
      <c r="AG43" s="12" t="str" cm="1">
        <f t="array" ref="AG43">IFERROR(_xlfn.XLOOKUP($I43,#REF!,_xlfn.XLOOKUP(AG$10,#REF!,#REF!,"",0,1),""),"")</f>
        <v/>
      </c>
      <c r="AH43" s="12" t="str" cm="1">
        <f t="array" ref="AH43">IFERROR(_xlfn.XLOOKUP($I43,#REF!,_xlfn.XLOOKUP(AH$10,#REF!,#REF!,"",0,1),""),"")</f>
        <v/>
      </c>
      <c r="AI43" s="12" t="str" cm="1">
        <f t="array" ref="AI43">IFERROR(_xlfn.XLOOKUP($I43,#REF!,_xlfn.XLOOKUP(AI$10,#REF!,#REF!,"",0,1),""),"")</f>
        <v/>
      </c>
      <c r="AJ43" s="12"/>
      <c r="AK43" s="12"/>
      <c r="AL43" s="11" t="str" cm="1">
        <f t="array" ref="AL43">IFERROR(_xlfn.XLOOKUP($I43,#REF!,_xlfn.XLOOKUP(AL$10,#REF!,#REF!,"",0,1),""),"")</f>
        <v/>
      </c>
      <c r="AM43" s="11" t="str" cm="1">
        <f t="array" ref="AM43">IFERROR(_xlfn.XLOOKUP($I43,#REF!,_xlfn.XLOOKUP(AM$10,#REF!,#REF!,"",0,1),""),"")</f>
        <v/>
      </c>
      <c r="AN43" s="11" t="str" cm="1">
        <f t="array" ref="AN43">IFERROR(_xlfn.XLOOKUP($I43,#REF!,_xlfn.XLOOKUP(AN$10,#REF!,#REF!,"",0,1),""),"")</f>
        <v/>
      </c>
      <c r="AO43" s="11" t="str" cm="1">
        <f t="array" ref="AO43">IFERROR(_xlfn.XLOOKUP($I43,#REF!,_xlfn.XLOOKUP(AO$10,#REF!,#REF!,"",0,1),""),"")</f>
        <v/>
      </c>
      <c r="AP43" s="11" t="str" cm="1">
        <f t="array" ref="AP43">IFERROR(_xlfn.XLOOKUP($I43,#REF!,_xlfn.XLOOKUP(AP$10,#REF!,#REF!,"",0,1),""),"")</f>
        <v/>
      </c>
      <c r="AQ43" s="11" t="str" cm="1">
        <f t="array" ref="AQ43">IFERROR(_xlfn.XLOOKUP($I43,#REF!,_xlfn.XLOOKUP(AQ$10,#REF!,#REF!,"",0,1),""),"")</f>
        <v/>
      </c>
      <c r="AR43" s="12" t="str" cm="1">
        <f t="array" ref="AR43">IFERROR(_xlfn.XLOOKUP($I43,#REF!,_xlfn.XLOOKUP(AR$10,#REF!,#REF!,"",0,1),""),"")</f>
        <v/>
      </c>
      <c r="AS43" s="12" t="str" cm="1">
        <f t="array" ref="AS43">IFERROR(_xlfn.XLOOKUP($I43,#REF!,_xlfn.XLOOKUP(AS$10,#REF!,#REF!,"",0,1),""),"")</f>
        <v/>
      </c>
      <c r="AT43" s="12" t="str" cm="1">
        <f t="array" ref="AT43">IFERROR(_xlfn.XLOOKUP($I43,#REF!,_xlfn.XLOOKUP(AT$10,#REF!,#REF!,"",0,1),""),"")</f>
        <v/>
      </c>
      <c r="AU43" s="12" t="str" cm="1">
        <f t="array" ref="AU43">IFERROR(_xlfn.XLOOKUP($I43,#REF!,_xlfn.XLOOKUP(AU$10,#REF!,#REF!,"",0,1),""),"")</f>
        <v/>
      </c>
      <c r="AV43" s="12" t="str" cm="1">
        <f t="array" ref="AV43">IFERROR(_xlfn.XLOOKUP($I43,#REF!,_xlfn.XLOOKUP(AV$10,#REF!,#REF!,"",0,1),""),"")</f>
        <v/>
      </c>
      <c r="AW43" s="12" t="str">
        <f>IFERROR(_xlfn.XLOOKUP($I43,#REF!,#REF!,""),"")</f>
        <v/>
      </c>
      <c r="AX43" s="12" t="str">
        <f>IFERROR(_xlfn.XLOOKUP($I43,#REF!,#REF!,""),"")</f>
        <v/>
      </c>
      <c r="AY43" s="12" t="str">
        <f>IFERROR(_xlfn.XLOOKUP($I43,#REF!,#REF!,""),"")</f>
        <v/>
      </c>
      <c r="AZ43" s="11" t="str" cm="1">
        <f t="array" ref="AZ43">IFERROR(_xlfn.XLOOKUP($I43,#REF!,_xlfn.XLOOKUP(AZ$10,#REF!,#REF!,"",0,1),""),"")</f>
        <v/>
      </c>
      <c r="BA43" s="11" t="str" cm="1">
        <f t="array" ref="BA43">IFERROR(_xlfn.XLOOKUP($I43,#REF!,_xlfn.XLOOKUP(BA$10,#REF!,#REF!,"",0,1),""),"")</f>
        <v/>
      </c>
      <c r="BB43" s="11" t="str">
        <f>IFERROR(_xlfn.XLOOKUP($I43,#REF!,#REF!,""),"")</f>
        <v/>
      </c>
      <c r="BC43" s="11" t="str">
        <f>IFERROR(_xlfn.XLOOKUP($I43,#REF!,#REF!,""),"")</f>
        <v/>
      </c>
      <c r="BD43" s="12" t="str" cm="1">
        <f t="array" ref="BD43">IFERROR(_xlfn.XLOOKUP($I43,#REF!,_xlfn.XLOOKUP(BD$10,#REF!,#REF!,"",0,1),""),"")</f>
        <v/>
      </c>
      <c r="BE43" s="12" t="str" cm="1">
        <f t="array" ref="BE43">IFERROR(_xlfn.XLOOKUP($I43,#REF!,_xlfn.XLOOKUP(BE$10,#REF!,#REF!,"",0,1),""),"")</f>
        <v/>
      </c>
      <c r="BF43" s="12" t="str" cm="1">
        <f t="array" ref="BF43">IFERROR(_xlfn.XLOOKUP($I43,#REF!,_xlfn.XLOOKUP(BF$10,#REF!,#REF!,"",0,1),""),"")</f>
        <v/>
      </c>
      <c r="BG43" s="12" t="str" cm="1">
        <f t="array" ref="BG43">IFERROR(_xlfn.XLOOKUP($I43,#REF!,_xlfn.XLOOKUP(BG$10,#REF!,#REF!,"",0,1),""),"")</f>
        <v/>
      </c>
      <c r="BH43" s="12" t="str" cm="1">
        <f t="array" ref="BH43">IFERROR(_xlfn.XLOOKUP($I43,#REF!,_xlfn.XLOOKUP(BH$10,#REF!,#REF!,"",0,1),""),"")</f>
        <v/>
      </c>
      <c r="BI43" s="12" t="str" cm="1">
        <f t="array" ref="BI43">IFERROR(_xlfn.XLOOKUP($I43,#REF!,_xlfn.XLOOKUP(BI$10,#REF!,#REF!,"",0,1),""),"")</f>
        <v/>
      </c>
      <c r="BJ43" s="12" t="str" cm="1">
        <f t="array" ref="BJ43">IFERROR(_xlfn.XLOOKUP($I43,#REF!,_xlfn.XLOOKUP(BJ$10,#REF!,#REF!,"",0,1),""),"")</f>
        <v/>
      </c>
      <c r="BK43" s="12" t="str" cm="1">
        <f t="array" ref="BK43">IFERROR(_xlfn.XLOOKUP($I43,#REF!,_xlfn.XLOOKUP(BK$10,#REF!,#REF!,"",0,1),""),"")</f>
        <v/>
      </c>
      <c r="BL43" s="12" t="str" cm="1">
        <f t="array" ref="BL43">IFERROR(_xlfn.XLOOKUP($I43,#REF!,_xlfn.XLOOKUP(BL$10,#REF!,#REF!,"",0,1),""),"")</f>
        <v/>
      </c>
      <c r="BM43" s="12" t="str">
        <f>IFERROR(_xlfn.XLOOKUP($I43,#REF!,#REF!,""),"")</f>
        <v/>
      </c>
      <c r="BN43" s="12" t="str">
        <f>IFERROR(_xlfn.XLOOKUP($I43,#REF!,#REF!,""),"")</f>
        <v/>
      </c>
      <c r="BO43" s="12" t="str">
        <f>IFERROR(_xlfn.XLOOKUP($I43,#REF!,#REF!,""),"")</f>
        <v/>
      </c>
      <c r="BP43" s="12" t="str" cm="1">
        <f t="array" ref="BP43">IFERROR(_xlfn.XLOOKUP($I43,#REF!,_xlfn.XLOOKUP(BP$10,#REF!,#REF!,"",0,1),""),"")</f>
        <v/>
      </c>
      <c r="BQ43" s="12" t="str">
        <f>IFERROR(_xlfn.XLOOKUP($I43,#REF!,#REF!,""),"")</f>
        <v/>
      </c>
      <c r="BR43" s="12" t="str">
        <f>IFERROR(_xlfn.XLOOKUP($I43,#REF!,#REF!,""),"")</f>
        <v/>
      </c>
      <c r="BS43" s="12" t="str">
        <f>IFERROR(_xlfn.XLOOKUP($I43,#REF!,#REF!,""),"")</f>
        <v/>
      </c>
      <c r="BT43" s="11" t="str">
        <f>IFERROR(_xlfn.XLOOKUP($I43,#REF!,#REF!,""),"")</f>
        <v/>
      </c>
      <c r="BU43" s="11" t="str">
        <f>IFERROR(_xlfn.XLOOKUP($I43,#REF!,#REF!,""),"")</f>
        <v/>
      </c>
      <c r="BV43" s="32" t="str">
        <f>IFERROR(_xlfn.XLOOKUP($I43,#REF!,#REF!,""),"")</f>
        <v/>
      </c>
      <c r="BW43" s="12" t="str">
        <f>IFERROR(_xlfn.XLOOKUP($I43,#REF!,#REF!,""),"")</f>
        <v/>
      </c>
    </row>
    <row r="44" spans="3:75" ht="52.35" customHeight="1" x14ac:dyDescent="0.3">
      <c r="C44" s="22" t="str">
        <f>IFERROR(_xlfn.XLOOKUP($I44,#REF!,#REF!,""),"")</f>
        <v/>
      </c>
      <c r="D44" s="19" t="str">
        <f>IFERROR(_xlfn.XLOOKUP($I44,#REF!,#REF!,""),"")</f>
        <v/>
      </c>
      <c r="E44" s="23" t="str">
        <f>IFERROR(_xlfn.XLOOKUP($I44,#REF!,#REF!,""),"")</f>
        <v/>
      </c>
      <c r="F44" s="19" t="str">
        <f>IFERROR(_xlfn.XLOOKUP($I44,#REF!,#REF!,""),"")</f>
        <v/>
      </c>
      <c r="G44" s="19" t="str">
        <f>IFERROR(_xlfn.XLOOKUP($I44,#REF!,#REF!,""),"")</f>
        <v/>
      </c>
      <c r="H44" s="19" t="str">
        <f>IFERROR(_xlfn.XLOOKUP($I44,#REF!,#REF!,""),"")</f>
        <v/>
      </c>
      <c r="I44" s="77">
        <v>3209</v>
      </c>
      <c r="J44" s="12" t="str" cm="1">
        <f t="array" ref="J44">IFERROR(_xlfn.XLOOKUP($I44,#REF!,_xlfn.XLOOKUP(J$10,#REF!,#REF!,"",0,1),""),"")</f>
        <v/>
      </c>
      <c r="K44" s="12" t="str" cm="1">
        <f t="array" ref="K44">IFERROR(_xlfn.XLOOKUP($I44,#REF!,_xlfn.XLOOKUP(K$10,#REF!,#REF!,"",0,1),""),"")</f>
        <v/>
      </c>
      <c r="L44" s="12" t="str" cm="1">
        <f t="array" ref="L44">IFERROR(_xlfn.XLOOKUP($I44,#REF!,_xlfn.XLOOKUP(L$10,#REF!,#REF!,"",0,1),""),"")</f>
        <v/>
      </c>
      <c r="M44" s="36" t="str" cm="1">
        <f t="array" ref="M44">IFERROR(_xlfn.XLOOKUP($I44,#REF!,_xlfn.XLOOKUP(M$10,#REF!,#REF!,"",0,1),""),"")</f>
        <v/>
      </c>
      <c r="N44" s="37" t="str" cm="1">
        <f t="array" ref="N44">IFERROR(_xlfn.XLOOKUP($I44,#REF!,_xlfn.XLOOKUP(N$10,#REF!,#REF!,"",0,1),""),"")</f>
        <v/>
      </c>
      <c r="O44" s="12" t="str" cm="1">
        <f t="array" ref="O44">IFERROR(_xlfn.XLOOKUP($I44,#REF!,_xlfn.XLOOKUP(O$10,#REF!,#REF!,"",0,1),""),"")</f>
        <v/>
      </c>
      <c r="P44" s="12" t="str" cm="1">
        <f t="array" ref="P44">IFERROR(_xlfn.XLOOKUP($I44,#REF!,_xlfn.XLOOKUP(P$10,#REF!,#REF!,"",0,1),""),"")</f>
        <v/>
      </c>
      <c r="Q44" s="12" t="str" cm="1">
        <f t="array" ref="Q44">IFERROR(_xlfn.XLOOKUP($I44,#REF!,_xlfn.XLOOKUP(Q$10,#REF!,#REF!,"",0,1),""),"")</f>
        <v/>
      </c>
      <c r="R44" s="12" t="str" cm="1">
        <f t="array" ref="R44">IFERROR(_xlfn.XLOOKUP($I44,#REF!,_xlfn.XLOOKUP(R$10,#REF!,#REF!,"",0,1),""),"")</f>
        <v/>
      </c>
      <c r="S44" s="12" t="str">
        <f>IFERROR(_xlfn.XLOOKUP($I44,#REF!,#REF!,""),"")</f>
        <v/>
      </c>
      <c r="T44" s="12" t="str">
        <f>IFERROR(_xlfn.XLOOKUP($I44,#REF!,#REF!,""),"")</f>
        <v/>
      </c>
      <c r="U44" s="12" t="str">
        <f>IFERROR(_xlfn.XLOOKUP($I44,#REF!,#REF!,""),"")</f>
        <v/>
      </c>
      <c r="V44" s="12" t="str">
        <f>IFERROR(_xlfn.XLOOKUP($I44,#REF!,#REF!,""),"")</f>
        <v/>
      </c>
      <c r="W44" s="74" t="str" cm="1">
        <f t="array" ref="W44">IFERROR(_xlfn.XLOOKUP($I44,#REF!,_xlfn.XLOOKUP(W$10,#REF!,#REF!,"",0,1),""),"")</f>
        <v/>
      </c>
      <c r="X44" s="74" t="str" cm="1">
        <f t="array" ref="X44">IFERROR(_xlfn.XLOOKUP($I44,#REF!,_xlfn.XLOOKUP(X$10,#REF!,#REF!,"",0,1),""),"")</f>
        <v/>
      </c>
      <c r="Y44" s="74" t="str" cm="1">
        <f t="array" ref="Y44">IFERROR(_xlfn.XLOOKUP($I44,#REF!,_xlfn.XLOOKUP(Y$10,#REF!,#REF!,"",0,1),""),"")</f>
        <v/>
      </c>
      <c r="Z44" s="74" t="str" cm="1">
        <f t="array" ref="Z44">IFERROR(_xlfn.XLOOKUP($I44,#REF!,_xlfn.XLOOKUP(Z$10,#REF!,#REF!,"",0,1),""),"")</f>
        <v/>
      </c>
      <c r="AA44" s="74" t="str" cm="1">
        <f t="array" ref="AA44">IFERROR(_xlfn.XLOOKUP($I44,#REF!,_xlfn.XLOOKUP(AA$10,#REF!,#REF!,"",0,1),""),"")</f>
        <v/>
      </c>
      <c r="AB44" s="12" t="str" cm="1">
        <f t="array" ref="AB44">IFERROR(_xlfn.XLOOKUP($I44,#REF!,_xlfn.XLOOKUP(AB$10,#REF!,#REF!,"",0,1),""),"")</f>
        <v/>
      </c>
      <c r="AC44" s="52" t="str" cm="1">
        <f t="array" ref="AC44">IFERROR(_xlfn.XLOOKUP($I44,#REF!,_xlfn.XLOOKUP(AC$10,#REF!,#REF!,"",0,1),""),"")</f>
        <v/>
      </c>
      <c r="AD44" s="12" t="str" cm="1">
        <f t="array" ref="AD44">IFERROR(_xlfn.XLOOKUP($I44,#REF!,_xlfn.XLOOKUP(AD$10,#REF!,#REF!,"",0,1),""),"")</f>
        <v/>
      </c>
      <c r="AE44" s="12"/>
      <c r="AF44" s="12" t="str" cm="1">
        <f t="array" ref="AF44">IFERROR(_xlfn.XLOOKUP($I44,#REF!,_xlfn.XLOOKUP(AF$10,#REF!,#REF!,"",0,1),""),"")</f>
        <v/>
      </c>
      <c r="AG44" s="12" t="str" cm="1">
        <f t="array" ref="AG44">IFERROR(_xlfn.XLOOKUP($I44,#REF!,_xlfn.XLOOKUP(AG$10,#REF!,#REF!,"",0,1),""),"")</f>
        <v/>
      </c>
      <c r="AH44" s="12" t="str" cm="1">
        <f t="array" ref="AH44">IFERROR(_xlfn.XLOOKUP($I44,#REF!,_xlfn.XLOOKUP(AH$10,#REF!,#REF!,"",0,1),""),"")</f>
        <v/>
      </c>
      <c r="AI44" s="12" t="str" cm="1">
        <f t="array" ref="AI44">IFERROR(_xlfn.XLOOKUP($I44,#REF!,_xlfn.XLOOKUP(AI$10,#REF!,#REF!,"",0,1),""),"")</f>
        <v/>
      </c>
      <c r="AJ44" s="12"/>
      <c r="AK44" s="12"/>
      <c r="AL44" s="11" t="str" cm="1">
        <f t="array" ref="AL44">IFERROR(_xlfn.XLOOKUP($I44,#REF!,_xlfn.XLOOKUP(AL$10,#REF!,#REF!,"",0,1),""),"")</f>
        <v/>
      </c>
      <c r="AM44" s="11" t="str" cm="1">
        <f t="array" ref="AM44">IFERROR(_xlfn.XLOOKUP($I44,#REF!,_xlfn.XLOOKUP(AM$10,#REF!,#REF!,"",0,1),""),"")</f>
        <v/>
      </c>
      <c r="AN44" s="11" t="str" cm="1">
        <f t="array" ref="AN44">IFERROR(_xlfn.XLOOKUP($I44,#REF!,_xlfn.XLOOKUP(AN$10,#REF!,#REF!,"",0,1),""),"")</f>
        <v/>
      </c>
      <c r="AO44" s="11" t="str" cm="1">
        <f t="array" ref="AO44">IFERROR(_xlfn.XLOOKUP($I44,#REF!,_xlfn.XLOOKUP(AO$10,#REF!,#REF!,"",0,1),""),"")</f>
        <v/>
      </c>
      <c r="AP44" s="11" t="str" cm="1">
        <f t="array" ref="AP44">IFERROR(_xlfn.XLOOKUP($I44,#REF!,_xlfn.XLOOKUP(AP$10,#REF!,#REF!,"",0,1),""),"")</f>
        <v/>
      </c>
      <c r="AQ44" s="11" t="str" cm="1">
        <f t="array" ref="AQ44">IFERROR(_xlfn.XLOOKUP($I44,#REF!,_xlfn.XLOOKUP(AQ$10,#REF!,#REF!,"",0,1),""),"")</f>
        <v/>
      </c>
      <c r="AR44" s="12" t="str" cm="1">
        <f t="array" ref="AR44">IFERROR(_xlfn.XLOOKUP($I44,#REF!,_xlfn.XLOOKUP(AR$10,#REF!,#REF!,"",0,1),""),"")</f>
        <v/>
      </c>
      <c r="AS44" s="12" t="str" cm="1">
        <f t="array" ref="AS44">IFERROR(_xlfn.XLOOKUP($I44,#REF!,_xlfn.XLOOKUP(AS$10,#REF!,#REF!,"",0,1),""),"")</f>
        <v/>
      </c>
      <c r="AT44" s="12" t="str" cm="1">
        <f t="array" ref="AT44">IFERROR(_xlfn.XLOOKUP($I44,#REF!,_xlfn.XLOOKUP(AT$10,#REF!,#REF!,"",0,1),""),"")</f>
        <v/>
      </c>
      <c r="AU44" s="12" t="str" cm="1">
        <f t="array" ref="AU44">IFERROR(_xlfn.XLOOKUP($I44,#REF!,_xlfn.XLOOKUP(AU$10,#REF!,#REF!,"",0,1),""),"")</f>
        <v/>
      </c>
      <c r="AV44" s="12" t="str" cm="1">
        <f t="array" ref="AV44">IFERROR(_xlfn.XLOOKUP($I44,#REF!,_xlfn.XLOOKUP(AV$10,#REF!,#REF!,"",0,1),""),"")</f>
        <v/>
      </c>
      <c r="AW44" s="12" t="str">
        <f>IFERROR(_xlfn.XLOOKUP($I44,#REF!,#REF!,""),"")</f>
        <v/>
      </c>
      <c r="AX44" s="12" t="str">
        <f>IFERROR(_xlfn.XLOOKUP($I44,#REF!,#REF!,""),"")</f>
        <v/>
      </c>
      <c r="AY44" s="12" t="str">
        <f>IFERROR(_xlfn.XLOOKUP($I44,#REF!,#REF!,""),"")</f>
        <v/>
      </c>
      <c r="AZ44" s="11" t="str" cm="1">
        <f t="array" ref="AZ44">IFERROR(_xlfn.XLOOKUP($I44,#REF!,_xlfn.XLOOKUP(AZ$10,#REF!,#REF!,"",0,1),""),"")</f>
        <v/>
      </c>
      <c r="BA44" s="11" t="str" cm="1">
        <f t="array" ref="BA44">IFERROR(_xlfn.XLOOKUP($I44,#REF!,_xlfn.XLOOKUP(BA$10,#REF!,#REF!,"",0,1),""),"")</f>
        <v/>
      </c>
      <c r="BB44" s="11" t="str">
        <f>IFERROR(_xlfn.XLOOKUP($I44,#REF!,#REF!,""),"")</f>
        <v/>
      </c>
      <c r="BC44" s="11" t="str">
        <f>IFERROR(_xlfn.XLOOKUP($I44,#REF!,#REF!,""),"")</f>
        <v/>
      </c>
      <c r="BD44" s="12" t="str" cm="1">
        <f t="array" ref="BD44">IFERROR(_xlfn.XLOOKUP($I44,#REF!,_xlfn.XLOOKUP(BD$10,#REF!,#REF!,"",0,1),""),"")</f>
        <v/>
      </c>
      <c r="BE44" s="12" t="str" cm="1">
        <f t="array" ref="BE44">IFERROR(_xlfn.XLOOKUP($I44,#REF!,_xlfn.XLOOKUP(BE$10,#REF!,#REF!,"",0,1),""),"")</f>
        <v/>
      </c>
      <c r="BF44" s="12" t="str" cm="1">
        <f t="array" ref="BF44">IFERROR(_xlfn.XLOOKUP($I44,#REF!,_xlfn.XLOOKUP(BF$10,#REF!,#REF!,"",0,1),""),"")</f>
        <v/>
      </c>
      <c r="BG44" s="12" t="str" cm="1">
        <f t="array" ref="BG44">IFERROR(_xlfn.XLOOKUP($I44,#REF!,_xlfn.XLOOKUP(BG$10,#REF!,#REF!,"",0,1),""),"")</f>
        <v/>
      </c>
      <c r="BH44" s="12" t="str" cm="1">
        <f t="array" ref="BH44">IFERROR(_xlfn.XLOOKUP($I44,#REF!,_xlfn.XLOOKUP(BH$10,#REF!,#REF!,"",0,1),""),"")</f>
        <v/>
      </c>
      <c r="BI44" s="12" t="str" cm="1">
        <f t="array" ref="BI44">IFERROR(_xlfn.XLOOKUP($I44,#REF!,_xlfn.XLOOKUP(BI$10,#REF!,#REF!,"",0,1),""),"")</f>
        <v/>
      </c>
      <c r="BJ44" s="12" t="str" cm="1">
        <f t="array" ref="BJ44">IFERROR(_xlfn.XLOOKUP($I44,#REF!,_xlfn.XLOOKUP(BJ$10,#REF!,#REF!,"",0,1),""),"")</f>
        <v/>
      </c>
      <c r="BK44" s="12" t="str" cm="1">
        <f t="array" ref="BK44">IFERROR(_xlfn.XLOOKUP($I44,#REF!,_xlfn.XLOOKUP(BK$10,#REF!,#REF!,"",0,1),""),"")</f>
        <v/>
      </c>
      <c r="BL44" s="12" t="str" cm="1">
        <f t="array" ref="BL44">IFERROR(_xlfn.XLOOKUP($I44,#REF!,_xlfn.XLOOKUP(BL$10,#REF!,#REF!,"",0,1),""),"")</f>
        <v/>
      </c>
      <c r="BM44" s="12" t="str">
        <f>IFERROR(_xlfn.XLOOKUP($I44,#REF!,#REF!,""),"")</f>
        <v/>
      </c>
      <c r="BN44" s="12" t="str">
        <f>IFERROR(_xlfn.XLOOKUP($I44,#REF!,#REF!,""),"")</f>
        <v/>
      </c>
      <c r="BO44" s="12" t="str">
        <f>IFERROR(_xlfn.XLOOKUP($I44,#REF!,#REF!,""),"")</f>
        <v/>
      </c>
      <c r="BP44" s="12" t="str" cm="1">
        <f t="array" ref="BP44">IFERROR(_xlfn.XLOOKUP($I44,#REF!,_xlfn.XLOOKUP(BP$10,#REF!,#REF!,"",0,1),""),"")</f>
        <v/>
      </c>
      <c r="BQ44" s="12" t="str">
        <f>IFERROR(_xlfn.XLOOKUP($I44,#REF!,#REF!,""),"")</f>
        <v/>
      </c>
      <c r="BR44" s="12" t="str">
        <f>IFERROR(_xlfn.XLOOKUP($I44,#REF!,#REF!,""),"")</f>
        <v/>
      </c>
      <c r="BS44" s="12" t="str">
        <f>IFERROR(_xlfn.XLOOKUP($I44,#REF!,#REF!,""),"")</f>
        <v/>
      </c>
      <c r="BT44" s="11" t="str">
        <f>IFERROR(_xlfn.XLOOKUP($I44,#REF!,#REF!,""),"")</f>
        <v/>
      </c>
      <c r="BU44" s="11" t="str">
        <f>IFERROR(_xlfn.XLOOKUP($I44,#REF!,#REF!,""),"")</f>
        <v/>
      </c>
      <c r="BV44" s="32" t="str">
        <f>IFERROR(_xlfn.XLOOKUP($I44,#REF!,#REF!,""),"")</f>
        <v/>
      </c>
      <c r="BW44" s="12" t="str">
        <f>IFERROR(_xlfn.XLOOKUP($I44,#REF!,#REF!,""),"")</f>
        <v/>
      </c>
    </row>
    <row r="45" spans="3:75" ht="52.35" customHeight="1" x14ac:dyDescent="0.3">
      <c r="C45" s="22" t="str">
        <f>IFERROR(_xlfn.XLOOKUP($I45,#REF!,#REF!,""),"")</f>
        <v/>
      </c>
      <c r="D45" s="19" t="str">
        <f>IFERROR(_xlfn.XLOOKUP($I45,#REF!,#REF!,""),"")</f>
        <v/>
      </c>
      <c r="E45" s="23" t="str">
        <f>IFERROR(_xlfn.XLOOKUP($I45,#REF!,#REF!,""),"")</f>
        <v/>
      </c>
      <c r="F45" s="19" t="str">
        <f>IFERROR(_xlfn.XLOOKUP($I45,#REF!,#REF!,""),"")</f>
        <v/>
      </c>
      <c r="G45" s="19" t="str">
        <f>IFERROR(_xlfn.XLOOKUP($I45,#REF!,#REF!,""),"")</f>
        <v/>
      </c>
      <c r="H45" s="19" t="str">
        <f>IFERROR(_xlfn.XLOOKUP($I45,#REF!,#REF!,""),"")</f>
        <v/>
      </c>
      <c r="I45" s="77">
        <v>1894</v>
      </c>
      <c r="J45" s="12" t="str" cm="1">
        <f t="array" ref="J45">IFERROR(_xlfn.XLOOKUP($I45,#REF!,_xlfn.XLOOKUP(J$10,#REF!,#REF!,"",0,1),""),"")</f>
        <v/>
      </c>
      <c r="K45" s="12" t="str" cm="1">
        <f t="array" ref="K45">IFERROR(_xlfn.XLOOKUP($I45,#REF!,_xlfn.XLOOKUP(K$10,#REF!,#REF!,"",0,1),""),"")</f>
        <v/>
      </c>
      <c r="L45" s="12" t="str" cm="1">
        <f t="array" ref="L45">IFERROR(_xlfn.XLOOKUP($I45,#REF!,_xlfn.XLOOKUP(L$10,#REF!,#REF!,"",0,1),""),"")</f>
        <v/>
      </c>
      <c r="M45" s="36" t="str" cm="1">
        <f t="array" ref="M45">IFERROR(_xlfn.XLOOKUP($I45,#REF!,_xlfn.XLOOKUP(M$10,#REF!,#REF!,"",0,1),""),"")</f>
        <v/>
      </c>
      <c r="N45" s="37" t="str" cm="1">
        <f t="array" ref="N45">IFERROR(_xlfn.XLOOKUP($I45,#REF!,_xlfn.XLOOKUP(N$10,#REF!,#REF!,"",0,1),""),"")</f>
        <v/>
      </c>
      <c r="O45" s="12" t="str" cm="1">
        <f t="array" ref="O45">IFERROR(_xlfn.XLOOKUP($I45,#REF!,_xlfn.XLOOKUP(O$10,#REF!,#REF!,"",0,1),""),"")</f>
        <v/>
      </c>
      <c r="P45" s="12" t="str" cm="1">
        <f t="array" ref="P45">IFERROR(_xlfn.XLOOKUP($I45,#REF!,_xlfn.XLOOKUP(P$10,#REF!,#REF!,"",0,1),""),"")</f>
        <v/>
      </c>
      <c r="Q45" s="12" t="str" cm="1">
        <f t="array" ref="Q45">IFERROR(_xlfn.XLOOKUP($I45,#REF!,_xlfn.XLOOKUP(Q$10,#REF!,#REF!,"",0,1),""),"")</f>
        <v/>
      </c>
      <c r="R45" s="12" t="str" cm="1">
        <f t="array" ref="R45">IFERROR(_xlfn.XLOOKUP($I45,#REF!,_xlfn.XLOOKUP(R$10,#REF!,#REF!,"",0,1),""),"")</f>
        <v/>
      </c>
      <c r="S45" s="12" t="str">
        <f>IFERROR(_xlfn.XLOOKUP($I45,#REF!,#REF!,""),"")</f>
        <v/>
      </c>
      <c r="T45" s="12" t="str">
        <f>IFERROR(_xlfn.XLOOKUP($I45,#REF!,#REF!,""),"")</f>
        <v/>
      </c>
      <c r="U45" s="12" t="str">
        <f>IFERROR(_xlfn.XLOOKUP($I45,#REF!,#REF!,""),"")</f>
        <v/>
      </c>
      <c r="V45" s="12" t="str">
        <f>IFERROR(_xlfn.XLOOKUP($I45,#REF!,#REF!,""),"")</f>
        <v/>
      </c>
      <c r="W45" s="74" t="str" cm="1">
        <f t="array" ref="W45">IFERROR(_xlfn.XLOOKUP($I45,#REF!,_xlfn.XLOOKUP(W$10,#REF!,#REF!,"",0,1),""),"")</f>
        <v/>
      </c>
      <c r="X45" s="74" t="str" cm="1">
        <f t="array" ref="X45">IFERROR(_xlfn.XLOOKUP($I45,#REF!,_xlfn.XLOOKUP(X$10,#REF!,#REF!,"",0,1),""),"")</f>
        <v/>
      </c>
      <c r="Y45" s="74" t="str" cm="1">
        <f t="array" ref="Y45">IFERROR(_xlfn.XLOOKUP($I45,#REF!,_xlfn.XLOOKUP(Y$10,#REF!,#REF!,"",0,1),""),"")</f>
        <v/>
      </c>
      <c r="Z45" s="74" t="str" cm="1">
        <f t="array" ref="Z45">IFERROR(_xlfn.XLOOKUP($I45,#REF!,_xlfn.XLOOKUP(Z$10,#REF!,#REF!,"",0,1),""),"")</f>
        <v/>
      </c>
      <c r="AA45" s="74" t="str" cm="1">
        <f t="array" ref="AA45">IFERROR(_xlfn.XLOOKUP($I45,#REF!,_xlfn.XLOOKUP(AA$10,#REF!,#REF!,"",0,1),""),"")</f>
        <v/>
      </c>
      <c r="AB45" s="12" t="str" cm="1">
        <f t="array" ref="AB45">IFERROR(_xlfn.XLOOKUP($I45,#REF!,_xlfn.XLOOKUP(AB$10,#REF!,#REF!,"",0,1),""),"")</f>
        <v/>
      </c>
      <c r="AC45" s="52" t="str" cm="1">
        <f t="array" ref="AC45">IFERROR(_xlfn.XLOOKUP($I45,#REF!,_xlfn.XLOOKUP(AC$10,#REF!,#REF!,"",0,1),""),"")</f>
        <v/>
      </c>
      <c r="AD45" s="12" t="str" cm="1">
        <f t="array" ref="AD45">IFERROR(_xlfn.XLOOKUP($I45,#REF!,_xlfn.XLOOKUP(AD$10,#REF!,#REF!,"",0,1),""),"")</f>
        <v/>
      </c>
      <c r="AE45" s="12"/>
      <c r="AF45" s="12" t="str" cm="1">
        <f t="array" ref="AF45">IFERROR(_xlfn.XLOOKUP($I45,#REF!,_xlfn.XLOOKUP(AF$10,#REF!,#REF!,"",0,1),""),"")</f>
        <v/>
      </c>
      <c r="AG45" s="12" t="str" cm="1">
        <f t="array" ref="AG45">IFERROR(_xlfn.XLOOKUP($I45,#REF!,_xlfn.XLOOKUP(AG$10,#REF!,#REF!,"",0,1),""),"")</f>
        <v/>
      </c>
      <c r="AH45" s="12" t="str" cm="1">
        <f t="array" ref="AH45">IFERROR(_xlfn.XLOOKUP($I45,#REF!,_xlfn.XLOOKUP(AH$10,#REF!,#REF!,"",0,1),""),"")</f>
        <v/>
      </c>
      <c r="AI45" s="12" t="str" cm="1">
        <f t="array" ref="AI45">IFERROR(_xlfn.XLOOKUP($I45,#REF!,_xlfn.XLOOKUP(AI$10,#REF!,#REF!,"",0,1),""),"")</f>
        <v/>
      </c>
      <c r="AJ45" s="12"/>
      <c r="AK45" s="12"/>
      <c r="AL45" s="11" t="str" cm="1">
        <f t="array" ref="AL45">IFERROR(_xlfn.XLOOKUP($I45,#REF!,_xlfn.XLOOKUP(AL$10,#REF!,#REF!,"",0,1),""),"")</f>
        <v/>
      </c>
      <c r="AM45" s="11" t="str" cm="1">
        <f t="array" ref="AM45">IFERROR(_xlfn.XLOOKUP($I45,#REF!,_xlfn.XLOOKUP(AM$10,#REF!,#REF!,"",0,1),""),"")</f>
        <v/>
      </c>
      <c r="AN45" s="11" t="str" cm="1">
        <f t="array" ref="AN45">IFERROR(_xlfn.XLOOKUP($I45,#REF!,_xlfn.XLOOKUP(AN$10,#REF!,#REF!,"",0,1),""),"")</f>
        <v/>
      </c>
      <c r="AO45" s="11" t="str" cm="1">
        <f t="array" ref="AO45">IFERROR(_xlfn.XLOOKUP($I45,#REF!,_xlfn.XLOOKUP(AO$10,#REF!,#REF!,"",0,1),""),"")</f>
        <v/>
      </c>
      <c r="AP45" s="11" t="str" cm="1">
        <f t="array" ref="AP45">IFERROR(_xlfn.XLOOKUP($I45,#REF!,_xlfn.XLOOKUP(AP$10,#REF!,#REF!,"",0,1),""),"")</f>
        <v/>
      </c>
      <c r="AQ45" s="11" t="str" cm="1">
        <f t="array" ref="AQ45">IFERROR(_xlfn.XLOOKUP($I45,#REF!,_xlfn.XLOOKUP(AQ$10,#REF!,#REF!,"",0,1),""),"")</f>
        <v/>
      </c>
      <c r="AR45" s="12" t="str" cm="1">
        <f t="array" ref="AR45">IFERROR(_xlfn.XLOOKUP($I45,#REF!,_xlfn.XLOOKUP(AR$10,#REF!,#REF!,"",0,1),""),"")</f>
        <v/>
      </c>
      <c r="AS45" s="12" t="str" cm="1">
        <f t="array" ref="AS45">IFERROR(_xlfn.XLOOKUP($I45,#REF!,_xlfn.XLOOKUP(AS$10,#REF!,#REF!,"",0,1),""),"")</f>
        <v/>
      </c>
      <c r="AT45" s="12" t="str" cm="1">
        <f t="array" ref="AT45">IFERROR(_xlfn.XLOOKUP($I45,#REF!,_xlfn.XLOOKUP(AT$10,#REF!,#REF!,"",0,1),""),"")</f>
        <v/>
      </c>
      <c r="AU45" s="12" t="str" cm="1">
        <f t="array" ref="AU45">IFERROR(_xlfn.XLOOKUP($I45,#REF!,_xlfn.XLOOKUP(AU$10,#REF!,#REF!,"",0,1),""),"")</f>
        <v/>
      </c>
      <c r="AV45" s="12" t="str" cm="1">
        <f t="array" ref="AV45">IFERROR(_xlfn.XLOOKUP($I45,#REF!,_xlfn.XLOOKUP(AV$10,#REF!,#REF!,"",0,1),""),"")</f>
        <v/>
      </c>
      <c r="AW45" s="12" t="str">
        <f>IFERROR(_xlfn.XLOOKUP($I45,#REF!,#REF!,""),"")</f>
        <v/>
      </c>
      <c r="AX45" s="12" t="str">
        <f>IFERROR(_xlfn.XLOOKUP($I45,#REF!,#REF!,""),"")</f>
        <v/>
      </c>
      <c r="AY45" s="12" t="str">
        <f>IFERROR(_xlfn.XLOOKUP($I45,#REF!,#REF!,""),"")</f>
        <v/>
      </c>
      <c r="AZ45" s="11" t="str" cm="1">
        <f t="array" ref="AZ45">IFERROR(_xlfn.XLOOKUP($I45,#REF!,_xlfn.XLOOKUP(AZ$10,#REF!,#REF!,"",0,1),""),"")</f>
        <v/>
      </c>
      <c r="BA45" s="11" t="str" cm="1">
        <f t="array" ref="BA45">IFERROR(_xlfn.XLOOKUP($I45,#REF!,_xlfn.XLOOKUP(BA$10,#REF!,#REF!,"",0,1),""),"")</f>
        <v/>
      </c>
      <c r="BB45" s="11" t="str">
        <f>IFERROR(_xlfn.XLOOKUP($I45,#REF!,#REF!,""),"")</f>
        <v/>
      </c>
      <c r="BC45" s="11" t="str">
        <f>IFERROR(_xlfn.XLOOKUP($I45,#REF!,#REF!,""),"")</f>
        <v/>
      </c>
      <c r="BD45" s="12" t="str" cm="1">
        <f t="array" ref="BD45">IFERROR(_xlfn.XLOOKUP($I45,#REF!,_xlfn.XLOOKUP(BD$10,#REF!,#REF!,"",0,1),""),"")</f>
        <v/>
      </c>
      <c r="BE45" s="12" t="str" cm="1">
        <f t="array" ref="BE45">IFERROR(_xlfn.XLOOKUP($I45,#REF!,_xlfn.XLOOKUP(BE$10,#REF!,#REF!,"",0,1),""),"")</f>
        <v/>
      </c>
      <c r="BF45" s="12" t="str" cm="1">
        <f t="array" ref="BF45">IFERROR(_xlfn.XLOOKUP($I45,#REF!,_xlfn.XLOOKUP(BF$10,#REF!,#REF!,"",0,1),""),"")</f>
        <v/>
      </c>
      <c r="BG45" s="12" t="str" cm="1">
        <f t="array" ref="BG45">IFERROR(_xlfn.XLOOKUP($I45,#REF!,_xlfn.XLOOKUP(BG$10,#REF!,#REF!,"",0,1),""),"")</f>
        <v/>
      </c>
      <c r="BH45" s="12" t="str" cm="1">
        <f t="array" ref="BH45">IFERROR(_xlfn.XLOOKUP($I45,#REF!,_xlfn.XLOOKUP(BH$10,#REF!,#REF!,"",0,1),""),"")</f>
        <v/>
      </c>
      <c r="BI45" s="12" t="str" cm="1">
        <f t="array" ref="BI45">IFERROR(_xlfn.XLOOKUP($I45,#REF!,_xlfn.XLOOKUP(BI$10,#REF!,#REF!,"",0,1),""),"")</f>
        <v/>
      </c>
      <c r="BJ45" s="12" t="str" cm="1">
        <f t="array" ref="BJ45">IFERROR(_xlfn.XLOOKUP($I45,#REF!,_xlfn.XLOOKUP(BJ$10,#REF!,#REF!,"",0,1),""),"")</f>
        <v/>
      </c>
      <c r="BK45" s="12" t="str" cm="1">
        <f t="array" ref="BK45">IFERROR(_xlfn.XLOOKUP($I45,#REF!,_xlfn.XLOOKUP(BK$10,#REF!,#REF!,"",0,1),""),"")</f>
        <v/>
      </c>
      <c r="BL45" s="12" t="str" cm="1">
        <f t="array" ref="BL45">IFERROR(_xlfn.XLOOKUP($I45,#REF!,_xlfn.XLOOKUP(BL$10,#REF!,#REF!,"",0,1),""),"")</f>
        <v/>
      </c>
      <c r="BM45" s="12" t="str">
        <f>IFERROR(_xlfn.XLOOKUP($I45,#REF!,#REF!,""),"")</f>
        <v/>
      </c>
      <c r="BN45" s="12" t="str">
        <f>IFERROR(_xlfn.XLOOKUP($I45,#REF!,#REF!,""),"")</f>
        <v/>
      </c>
      <c r="BO45" s="12" t="str">
        <f>IFERROR(_xlfn.XLOOKUP($I45,#REF!,#REF!,""),"")</f>
        <v/>
      </c>
      <c r="BP45" s="12" t="str" cm="1">
        <f t="array" ref="BP45">IFERROR(_xlfn.XLOOKUP($I45,#REF!,_xlfn.XLOOKUP(BP$10,#REF!,#REF!,"",0,1),""),"")</f>
        <v/>
      </c>
      <c r="BQ45" s="12" t="str">
        <f>IFERROR(_xlfn.XLOOKUP($I45,#REF!,#REF!,""),"")</f>
        <v/>
      </c>
      <c r="BR45" s="12" t="str">
        <f>IFERROR(_xlfn.XLOOKUP($I45,#REF!,#REF!,""),"")</f>
        <v/>
      </c>
      <c r="BS45" s="12" t="str">
        <f>IFERROR(_xlfn.XLOOKUP($I45,#REF!,#REF!,""),"")</f>
        <v/>
      </c>
      <c r="BT45" s="11" t="str">
        <f>IFERROR(_xlfn.XLOOKUP($I45,#REF!,#REF!,""),"")</f>
        <v/>
      </c>
      <c r="BU45" s="11" t="str">
        <f>IFERROR(_xlfn.XLOOKUP($I45,#REF!,#REF!,""),"")</f>
        <v/>
      </c>
      <c r="BV45" s="32" t="str">
        <f>IFERROR(_xlfn.XLOOKUP($I45,#REF!,#REF!,""),"")</f>
        <v/>
      </c>
      <c r="BW45" s="12" t="str">
        <f>IFERROR(_xlfn.XLOOKUP($I45,#REF!,#REF!,""),"")</f>
        <v/>
      </c>
    </row>
    <row r="46" spans="3:75" ht="52.35" customHeight="1" x14ac:dyDescent="0.3">
      <c r="C46" s="22" t="str">
        <f>IFERROR(_xlfn.XLOOKUP($I46,#REF!,#REF!,""),"")</f>
        <v/>
      </c>
      <c r="D46" s="19" t="str">
        <f>IFERROR(_xlfn.XLOOKUP($I46,#REF!,#REF!,""),"")</f>
        <v/>
      </c>
      <c r="E46" s="23" t="str">
        <f>IFERROR(_xlfn.XLOOKUP($I46,#REF!,#REF!,""),"")</f>
        <v/>
      </c>
      <c r="F46" s="19" t="str">
        <f>IFERROR(_xlfn.XLOOKUP($I46,#REF!,#REF!,""),"")</f>
        <v/>
      </c>
      <c r="G46" s="19" t="str">
        <f>IFERROR(_xlfn.XLOOKUP($I46,#REF!,#REF!,""),"")</f>
        <v/>
      </c>
      <c r="H46" s="19" t="str">
        <f>IFERROR(_xlfn.XLOOKUP($I46,#REF!,#REF!,""),"")</f>
        <v/>
      </c>
      <c r="I46" s="77">
        <v>53632</v>
      </c>
      <c r="J46" s="12" t="str" cm="1">
        <f t="array" ref="J46">IFERROR(_xlfn.XLOOKUP($I46,#REF!,_xlfn.XLOOKUP(J$10,#REF!,#REF!,"",0,1),""),"")</f>
        <v/>
      </c>
      <c r="K46" s="12" t="str" cm="1">
        <f t="array" ref="K46">IFERROR(_xlfn.XLOOKUP($I46,#REF!,_xlfn.XLOOKUP(K$10,#REF!,#REF!,"",0,1),""),"")</f>
        <v/>
      </c>
      <c r="L46" s="12" t="str" cm="1">
        <f t="array" ref="L46">IFERROR(_xlfn.XLOOKUP($I46,#REF!,_xlfn.XLOOKUP(L$10,#REF!,#REF!,"",0,1),""),"")</f>
        <v/>
      </c>
      <c r="M46" s="36" t="str" cm="1">
        <f t="array" ref="M46">IFERROR(_xlfn.XLOOKUP($I46,#REF!,_xlfn.XLOOKUP(M$10,#REF!,#REF!,"",0,1),""),"")</f>
        <v/>
      </c>
      <c r="N46" s="37" t="str" cm="1">
        <f t="array" ref="N46">IFERROR(_xlfn.XLOOKUP($I46,#REF!,_xlfn.XLOOKUP(N$10,#REF!,#REF!,"",0,1),""),"")</f>
        <v/>
      </c>
      <c r="O46" s="12" t="str" cm="1">
        <f t="array" ref="O46">IFERROR(_xlfn.XLOOKUP($I46,#REF!,_xlfn.XLOOKUP(O$10,#REF!,#REF!,"",0,1),""),"")</f>
        <v/>
      </c>
      <c r="P46" s="12" t="str" cm="1">
        <f t="array" ref="P46">IFERROR(_xlfn.XLOOKUP($I46,#REF!,_xlfn.XLOOKUP(P$10,#REF!,#REF!,"",0,1),""),"")</f>
        <v/>
      </c>
      <c r="Q46" s="12" t="str" cm="1">
        <f t="array" ref="Q46">IFERROR(_xlfn.XLOOKUP($I46,#REF!,_xlfn.XLOOKUP(Q$10,#REF!,#REF!,"",0,1),""),"")</f>
        <v/>
      </c>
      <c r="R46" s="12" t="str" cm="1">
        <f t="array" ref="R46">IFERROR(_xlfn.XLOOKUP($I46,#REF!,_xlfn.XLOOKUP(R$10,#REF!,#REF!,"",0,1),""),"")</f>
        <v/>
      </c>
      <c r="S46" s="12" t="str">
        <f>IFERROR(_xlfn.XLOOKUP($I46,#REF!,#REF!,""),"")</f>
        <v/>
      </c>
      <c r="T46" s="12" t="str">
        <f>IFERROR(_xlfn.XLOOKUP($I46,#REF!,#REF!,""),"")</f>
        <v/>
      </c>
      <c r="U46" s="12" t="str">
        <f>IFERROR(_xlfn.XLOOKUP($I46,#REF!,#REF!,""),"")</f>
        <v/>
      </c>
      <c r="V46" s="12" t="str">
        <f>IFERROR(_xlfn.XLOOKUP($I46,#REF!,#REF!,""),"")</f>
        <v/>
      </c>
      <c r="W46" s="74" t="str" cm="1">
        <f t="array" ref="W46">IFERROR(_xlfn.XLOOKUP($I46,#REF!,_xlfn.XLOOKUP(W$10,#REF!,#REF!,"",0,1),""),"")</f>
        <v/>
      </c>
      <c r="X46" s="74" t="str" cm="1">
        <f t="array" ref="X46">IFERROR(_xlfn.XLOOKUP($I46,#REF!,_xlfn.XLOOKUP(X$10,#REF!,#REF!,"",0,1),""),"")</f>
        <v/>
      </c>
      <c r="Y46" s="74" t="str" cm="1">
        <f t="array" ref="Y46">IFERROR(_xlfn.XLOOKUP($I46,#REF!,_xlfn.XLOOKUP(Y$10,#REF!,#REF!,"",0,1),""),"")</f>
        <v/>
      </c>
      <c r="Z46" s="74" t="str" cm="1">
        <f t="array" ref="Z46">IFERROR(_xlfn.XLOOKUP($I46,#REF!,_xlfn.XLOOKUP(Z$10,#REF!,#REF!,"",0,1),""),"")</f>
        <v/>
      </c>
      <c r="AA46" s="74" t="str" cm="1">
        <f t="array" ref="AA46">IFERROR(_xlfn.XLOOKUP($I46,#REF!,_xlfn.XLOOKUP(AA$10,#REF!,#REF!,"",0,1),""),"")</f>
        <v/>
      </c>
      <c r="AB46" s="12" t="str" cm="1">
        <f t="array" ref="AB46">IFERROR(_xlfn.XLOOKUP($I46,#REF!,_xlfn.XLOOKUP(AB$10,#REF!,#REF!,"",0,1),""),"")</f>
        <v/>
      </c>
      <c r="AC46" s="52" t="str" cm="1">
        <f t="array" ref="AC46">IFERROR(_xlfn.XLOOKUP($I46,#REF!,_xlfn.XLOOKUP(AC$10,#REF!,#REF!,"",0,1),""),"")</f>
        <v/>
      </c>
      <c r="AD46" s="12" t="str" cm="1">
        <f t="array" ref="AD46">IFERROR(_xlfn.XLOOKUP($I46,#REF!,_xlfn.XLOOKUP(AD$10,#REF!,#REF!,"",0,1),""),"")</f>
        <v/>
      </c>
      <c r="AE46" s="12"/>
      <c r="AF46" s="12" t="str" cm="1">
        <f t="array" ref="AF46">IFERROR(_xlfn.XLOOKUP($I46,#REF!,_xlfn.XLOOKUP(AF$10,#REF!,#REF!,"",0,1),""),"")</f>
        <v/>
      </c>
      <c r="AG46" s="12" t="str" cm="1">
        <f t="array" ref="AG46">IFERROR(_xlfn.XLOOKUP($I46,#REF!,_xlfn.XLOOKUP(AG$10,#REF!,#REF!,"",0,1),""),"")</f>
        <v/>
      </c>
      <c r="AH46" s="12" t="str" cm="1">
        <f t="array" ref="AH46">IFERROR(_xlfn.XLOOKUP($I46,#REF!,_xlfn.XLOOKUP(AH$10,#REF!,#REF!,"",0,1),""),"")</f>
        <v/>
      </c>
      <c r="AI46" s="12" t="str" cm="1">
        <f t="array" ref="AI46">IFERROR(_xlfn.XLOOKUP($I46,#REF!,_xlfn.XLOOKUP(AI$10,#REF!,#REF!,"",0,1),""),"")</f>
        <v/>
      </c>
      <c r="AJ46" s="12"/>
      <c r="AK46" s="12"/>
      <c r="AL46" s="11" t="str" cm="1">
        <f t="array" ref="AL46">IFERROR(_xlfn.XLOOKUP($I46,#REF!,_xlfn.XLOOKUP(AL$10,#REF!,#REF!,"",0,1),""),"")</f>
        <v/>
      </c>
      <c r="AM46" s="11" t="str" cm="1">
        <f t="array" ref="AM46">IFERROR(_xlfn.XLOOKUP($I46,#REF!,_xlfn.XLOOKUP(AM$10,#REF!,#REF!,"",0,1),""),"")</f>
        <v/>
      </c>
      <c r="AN46" s="11" t="str" cm="1">
        <f t="array" ref="AN46">IFERROR(_xlfn.XLOOKUP($I46,#REF!,_xlfn.XLOOKUP(AN$10,#REF!,#REF!,"",0,1),""),"")</f>
        <v/>
      </c>
      <c r="AO46" s="11" t="str" cm="1">
        <f t="array" ref="AO46">IFERROR(_xlfn.XLOOKUP($I46,#REF!,_xlfn.XLOOKUP(AO$10,#REF!,#REF!,"",0,1),""),"")</f>
        <v/>
      </c>
      <c r="AP46" s="11" t="str" cm="1">
        <f t="array" ref="AP46">IFERROR(_xlfn.XLOOKUP($I46,#REF!,_xlfn.XLOOKUP(AP$10,#REF!,#REF!,"",0,1),""),"")</f>
        <v/>
      </c>
      <c r="AQ46" s="11" t="str" cm="1">
        <f t="array" ref="AQ46">IFERROR(_xlfn.XLOOKUP($I46,#REF!,_xlfn.XLOOKUP(AQ$10,#REF!,#REF!,"",0,1),""),"")</f>
        <v/>
      </c>
      <c r="AR46" s="12" t="str" cm="1">
        <f t="array" ref="AR46">IFERROR(_xlfn.XLOOKUP($I46,#REF!,_xlfn.XLOOKUP(AR$10,#REF!,#REF!,"",0,1),""),"")</f>
        <v/>
      </c>
      <c r="AS46" s="12" t="str" cm="1">
        <f t="array" ref="AS46">IFERROR(_xlfn.XLOOKUP($I46,#REF!,_xlfn.XLOOKUP(AS$10,#REF!,#REF!,"",0,1),""),"")</f>
        <v/>
      </c>
      <c r="AT46" s="12" t="str" cm="1">
        <f t="array" ref="AT46">IFERROR(_xlfn.XLOOKUP($I46,#REF!,_xlfn.XLOOKUP(AT$10,#REF!,#REF!,"",0,1),""),"")</f>
        <v/>
      </c>
      <c r="AU46" s="12" t="str" cm="1">
        <f t="array" ref="AU46">IFERROR(_xlfn.XLOOKUP($I46,#REF!,_xlfn.XLOOKUP(AU$10,#REF!,#REF!,"",0,1),""),"")</f>
        <v/>
      </c>
      <c r="AV46" s="12" t="str" cm="1">
        <f t="array" ref="AV46">IFERROR(_xlfn.XLOOKUP($I46,#REF!,_xlfn.XLOOKUP(AV$10,#REF!,#REF!,"",0,1),""),"")</f>
        <v/>
      </c>
      <c r="AW46" s="12" t="str">
        <f>IFERROR(_xlfn.XLOOKUP($I46,#REF!,#REF!,""),"")</f>
        <v/>
      </c>
      <c r="AX46" s="12" t="str">
        <f>IFERROR(_xlfn.XLOOKUP($I46,#REF!,#REF!,""),"")</f>
        <v/>
      </c>
      <c r="AY46" s="12" t="str">
        <f>IFERROR(_xlfn.XLOOKUP($I46,#REF!,#REF!,""),"")</f>
        <v/>
      </c>
      <c r="AZ46" s="11" t="str" cm="1">
        <f t="array" ref="AZ46">IFERROR(_xlfn.XLOOKUP($I46,#REF!,_xlfn.XLOOKUP(AZ$10,#REF!,#REF!,"",0,1),""),"")</f>
        <v/>
      </c>
      <c r="BA46" s="11" t="str" cm="1">
        <f t="array" ref="BA46">IFERROR(_xlfn.XLOOKUP($I46,#REF!,_xlfn.XLOOKUP(BA$10,#REF!,#REF!,"",0,1),""),"")</f>
        <v/>
      </c>
      <c r="BB46" s="11" t="str">
        <f>IFERROR(_xlfn.XLOOKUP($I46,#REF!,#REF!,""),"")</f>
        <v/>
      </c>
      <c r="BC46" s="11" t="str">
        <f>IFERROR(_xlfn.XLOOKUP($I46,#REF!,#REF!,""),"")</f>
        <v/>
      </c>
      <c r="BD46" s="12" t="str" cm="1">
        <f t="array" ref="BD46">IFERROR(_xlfn.XLOOKUP($I46,#REF!,_xlfn.XLOOKUP(BD$10,#REF!,#REF!,"",0,1),""),"")</f>
        <v/>
      </c>
      <c r="BE46" s="12" t="str" cm="1">
        <f t="array" ref="BE46">IFERROR(_xlfn.XLOOKUP($I46,#REF!,_xlfn.XLOOKUP(BE$10,#REF!,#REF!,"",0,1),""),"")</f>
        <v/>
      </c>
      <c r="BF46" s="12" t="str" cm="1">
        <f t="array" ref="BF46">IFERROR(_xlfn.XLOOKUP($I46,#REF!,_xlfn.XLOOKUP(BF$10,#REF!,#REF!,"",0,1),""),"")</f>
        <v/>
      </c>
      <c r="BG46" s="12" t="str" cm="1">
        <f t="array" ref="BG46">IFERROR(_xlfn.XLOOKUP($I46,#REF!,_xlfn.XLOOKUP(BG$10,#REF!,#REF!,"",0,1),""),"")</f>
        <v/>
      </c>
      <c r="BH46" s="12" t="str" cm="1">
        <f t="array" ref="BH46">IFERROR(_xlfn.XLOOKUP($I46,#REF!,_xlfn.XLOOKUP(BH$10,#REF!,#REF!,"",0,1),""),"")</f>
        <v/>
      </c>
      <c r="BI46" s="12" t="str" cm="1">
        <f t="array" ref="BI46">IFERROR(_xlfn.XLOOKUP($I46,#REF!,_xlfn.XLOOKUP(BI$10,#REF!,#REF!,"",0,1),""),"")</f>
        <v/>
      </c>
      <c r="BJ46" s="12" t="str" cm="1">
        <f t="array" ref="BJ46">IFERROR(_xlfn.XLOOKUP($I46,#REF!,_xlfn.XLOOKUP(BJ$10,#REF!,#REF!,"",0,1),""),"")</f>
        <v/>
      </c>
      <c r="BK46" s="12" t="str" cm="1">
        <f t="array" ref="BK46">IFERROR(_xlfn.XLOOKUP($I46,#REF!,_xlfn.XLOOKUP(BK$10,#REF!,#REF!,"",0,1),""),"")</f>
        <v/>
      </c>
      <c r="BL46" s="12" t="str" cm="1">
        <f t="array" ref="BL46">IFERROR(_xlfn.XLOOKUP($I46,#REF!,_xlfn.XLOOKUP(BL$10,#REF!,#REF!,"",0,1),""),"")</f>
        <v/>
      </c>
      <c r="BM46" s="12" t="str">
        <f>IFERROR(_xlfn.XLOOKUP($I46,#REF!,#REF!,""),"")</f>
        <v/>
      </c>
      <c r="BN46" s="12" t="str">
        <f>IFERROR(_xlfn.XLOOKUP($I46,#REF!,#REF!,""),"")</f>
        <v/>
      </c>
      <c r="BO46" s="12" t="str">
        <f>IFERROR(_xlfn.XLOOKUP($I46,#REF!,#REF!,""),"")</f>
        <v/>
      </c>
      <c r="BP46" s="12" t="str" cm="1">
        <f t="array" ref="BP46">IFERROR(_xlfn.XLOOKUP($I46,#REF!,_xlfn.XLOOKUP(BP$10,#REF!,#REF!,"",0,1),""),"")</f>
        <v/>
      </c>
      <c r="BQ46" s="12" t="str">
        <f>IFERROR(_xlfn.XLOOKUP($I46,#REF!,#REF!,""),"")</f>
        <v/>
      </c>
      <c r="BR46" s="12" t="str">
        <f>IFERROR(_xlfn.XLOOKUP($I46,#REF!,#REF!,""),"")</f>
        <v/>
      </c>
      <c r="BS46" s="12" t="str">
        <f>IFERROR(_xlfn.XLOOKUP($I46,#REF!,#REF!,""),"")</f>
        <v/>
      </c>
      <c r="BT46" s="11" t="str">
        <f>IFERROR(_xlfn.XLOOKUP($I46,#REF!,#REF!,""),"")</f>
        <v/>
      </c>
      <c r="BU46" s="11" t="str">
        <f>IFERROR(_xlfn.XLOOKUP($I46,#REF!,#REF!,""),"")</f>
        <v/>
      </c>
      <c r="BV46" s="32" t="str">
        <f>IFERROR(_xlfn.XLOOKUP($I46,#REF!,#REF!,""),"")</f>
        <v/>
      </c>
      <c r="BW46" s="12" t="str">
        <f>IFERROR(_xlfn.XLOOKUP($I46,#REF!,#REF!,""),"")</f>
        <v/>
      </c>
    </row>
    <row r="47" spans="3:75" ht="52.35" customHeight="1" x14ac:dyDescent="0.3">
      <c r="C47" s="22" t="str">
        <f>IFERROR(_xlfn.XLOOKUP($I47,#REF!,#REF!,""),"")</f>
        <v/>
      </c>
      <c r="D47" s="19" t="str">
        <f>IFERROR(_xlfn.XLOOKUP($I47,#REF!,#REF!,""),"")</f>
        <v/>
      </c>
      <c r="E47" s="23" t="str">
        <f>IFERROR(_xlfn.XLOOKUP($I47,#REF!,#REF!,""),"")</f>
        <v/>
      </c>
      <c r="F47" s="19" t="str">
        <f>IFERROR(_xlfn.XLOOKUP($I47,#REF!,#REF!,""),"")</f>
        <v/>
      </c>
      <c r="G47" s="19" t="str">
        <f>IFERROR(_xlfn.XLOOKUP($I47,#REF!,#REF!,""),"")</f>
        <v/>
      </c>
      <c r="H47" s="19" t="str">
        <f>IFERROR(_xlfn.XLOOKUP($I47,#REF!,#REF!,""),"")</f>
        <v/>
      </c>
      <c r="I47" s="77">
        <v>110267</v>
      </c>
      <c r="J47" s="12" t="str" cm="1">
        <f t="array" ref="J47">IFERROR(_xlfn.XLOOKUP($I47,#REF!,_xlfn.XLOOKUP(J$10,#REF!,#REF!,"",0,1),""),"")</f>
        <v/>
      </c>
      <c r="K47" s="12" t="str" cm="1">
        <f t="array" ref="K47">IFERROR(_xlfn.XLOOKUP($I47,#REF!,_xlfn.XLOOKUP(K$10,#REF!,#REF!,"",0,1),""),"")</f>
        <v/>
      </c>
      <c r="L47" s="12" t="str" cm="1">
        <f t="array" ref="L47">IFERROR(_xlfn.XLOOKUP($I47,#REF!,_xlfn.XLOOKUP(L$10,#REF!,#REF!,"",0,1),""),"")</f>
        <v/>
      </c>
      <c r="M47" s="36" t="str" cm="1">
        <f t="array" ref="M47">IFERROR(_xlfn.XLOOKUP($I47,#REF!,_xlfn.XLOOKUP(M$10,#REF!,#REF!,"",0,1),""),"")</f>
        <v/>
      </c>
      <c r="N47" s="37" t="str" cm="1">
        <f t="array" ref="N47">IFERROR(_xlfn.XLOOKUP($I47,#REF!,_xlfn.XLOOKUP(N$10,#REF!,#REF!,"",0,1),""),"")</f>
        <v/>
      </c>
      <c r="O47" s="12" t="str" cm="1">
        <f t="array" ref="O47">IFERROR(_xlfn.XLOOKUP($I47,#REF!,_xlfn.XLOOKUP(O$10,#REF!,#REF!,"",0,1),""),"")</f>
        <v/>
      </c>
      <c r="P47" s="12" t="str" cm="1">
        <f t="array" ref="P47">IFERROR(_xlfn.XLOOKUP($I47,#REF!,_xlfn.XLOOKUP(P$10,#REF!,#REF!,"",0,1),""),"")</f>
        <v/>
      </c>
      <c r="Q47" s="12" t="str" cm="1">
        <f t="array" ref="Q47">IFERROR(_xlfn.XLOOKUP($I47,#REF!,_xlfn.XLOOKUP(Q$10,#REF!,#REF!,"",0,1),""),"")</f>
        <v/>
      </c>
      <c r="R47" s="12" t="str" cm="1">
        <f t="array" ref="R47">IFERROR(_xlfn.XLOOKUP($I47,#REF!,_xlfn.XLOOKUP(R$10,#REF!,#REF!,"",0,1),""),"")</f>
        <v/>
      </c>
      <c r="S47" s="12" t="str">
        <f>IFERROR(_xlfn.XLOOKUP($I47,#REF!,#REF!,""),"")</f>
        <v/>
      </c>
      <c r="T47" s="12" t="str">
        <f>IFERROR(_xlfn.XLOOKUP($I47,#REF!,#REF!,""),"")</f>
        <v/>
      </c>
      <c r="U47" s="12" t="str">
        <f>IFERROR(_xlfn.XLOOKUP($I47,#REF!,#REF!,""),"")</f>
        <v/>
      </c>
      <c r="V47" s="12" t="str">
        <f>IFERROR(_xlfn.XLOOKUP($I47,#REF!,#REF!,""),"")</f>
        <v/>
      </c>
      <c r="W47" s="74" t="str" cm="1">
        <f t="array" ref="W47">IFERROR(_xlfn.XLOOKUP($I47,#REF!,_xlfn.XLOOKUP(W$10,#REF!,#REF!,"",0,1),""),"")</f>
        <v/>
      </c>
      <c r="X47" s="74" t="str" cm="1">
        <f t="array" ref="X47">IFERROR(_xlfn.XLOOKUP($I47,#REF!,_xlfn.XLOOKUP(X$10,#REF!,#REF!,"",0,1),""),"")</f>
        <v/>
      </c>
      <c r="Y47" s="74" t="str" cm="1">
        <f t="array" ref="Y47">IFERROR(_xlfn.XLOOKUP($I47,#REF!,_xlfn.XLOOKUP(Y$10,#REF!,#REF!,"",0,1),""),"")</f>
        <v/>
      </c>
      <c r="Z47" s="74" t="str" cm="1">
        <f t="array" ref="Z47">IFERROR(_xlfn.XLOOKUP($I47,#REF!,_xlfn.XLOOKUP(Z$10,#REF!,#REF!,"",0,1),""),"")</f>
        <v/>
      </c>
      <c r="AA47" s="74" t="str" cm="1">
        <f t="array" ref="AA47">IFERROR(_xlfn.XLOOKUP($I47,#REF!,_xlfn.XLOOKUP(AA$10,#REF!,#REF!,"",0,1),""),"")</f>
        <v/>
      </c>
      <c r="AB47" s="12" t="str" cm="1">
        <f t="array" ref="AB47">IFERROR(_xlfn.XLOOKUP($I47,#REF!,_xlfn.XLOOKUP(AB$10,#REF!,#REF!,"",0,1),""),"")</f>
        <v/>
      </c>
      <c r="AC47" s="52" t="str" cm="1">
        <f t="array" ref="AC47">IFERROR(_xlfn.XLOOKUP($I47,#REF!,_xlfn.XLOOKUP(AC$10,#REF!,#REF!,"",0,1),""),"")</f>
        <v/>
      </c>
      <c r="AD47" s="12" t="str" cm="1">
        <f t="array" ref="AD47">IFERROR(_xlfn.XLOOKUP($I47,#REF!,_xlfn.XLOOKUP(AD$10,#REF!,#REF!,"",0,1),""),"")</f>
        <v/>
      </c>
      <c r="AE47" s="12"/>
      <c r="AF47" s="12" t="str" cm="1">
        <f t="array" ref="AF47">IFERROR(_xlfn.XLOOKUP($I47,#REF!,_xlfn.XLOOKUP(AF$10,#REF!,#REF!,"",0,1),""),"")</f>
        <v/>
      </c>
      <c r="AG47" s="12" t="str" cm="1">
        <f t="array" ref="AG47">IFERROR(_xlfn.XLOOKUP($I47,#REF!,_xlfn.XLOOKUP(AG$10,#REF!,#REF!,"",0,1),""),"")</f>
        <v/>
      </c>
      <c r="AH47" s="12" t="str" cm="1">
        <f t="array" ref="AH47">IFERROR(_xlfn.XLOOKUP($I47,#REF!,_xlfn.XLOOKUP(AH$10,#REF!,#REF!,"",0,1),""),"")</f>
        <v/>
      </c>
      <c r="AI47" s="12" t="str" cm="1">
        <f t="array" ref="AI47">IFERROR(_xlfn.XLOOKUP($I47,#REF!,_xlfn.XLOOKUP(AI$10,#REF!,#REF!,"",0,1),""),"")</f>
        <v/>
      </c>
      <c r="AJ47" s="12"/>
      <c r="AK47" s="12"/>
      <c r="AL47" s="11" t="str" cm="1">
        <f t="array" ref="AL47">IFERROR(_xlfn.XLOOKUP($I47,#REF!,_xlfn.XLOOKUP(AL$10,#REF!,#REF!,"",0,1),""),"")</f>
        <v/>
      </c>
      <c r="AM47" s="11" t="str" cm="1">
        <f t="array" ref="AM47">IFERROR(_xlfn.XLOOKUP($I47,#REF!,_xlfn.XLOOKUP(AM$10,#REF!,#REF!,"",0,1),""),"")</f>
        <v/>
      </c>
      <c r="AN47" s="11" t="str" cm="1">
        <f t="array" ref="AN47">IFERROR(_xlfn.XLOOKUP($I47,#REF!,_xlfn.XLOOKUP(AN$10,#REF!,#REF!,"",0,1),""),"")</f>
        <v/>
      </c>
      <c r="AO47" s="11" t="str" cm="1">
        <f t="array" ref="AO47">IFERROR(_xlfn.XLOOKUP($I47,#REF!,_xlfn.XLOOKUP(AO$10,#REF!,#REF!,"",0,1),""),"")</f>
        <v/>
      </c>
      <c r="AP47" s="11" t="str" cm="1">
        <f t="array" ref="AP47">IFERROR(_xlfn.XLOOKUP($I47,#REF!,_xlfn.XLOOKUP(AP$10,#REF!,#REF!,"",0,1),""),"")</f>
        <v/>
      </c>
      <c r="AQ47" s="11" t="str" cm="1">
        <f t="array" ref="AQ47">IFERROR(_xlfn.XLOOKUP($I47,#REF!,_xlfn.XLOOKUP(AQ$10,#REF!,#REF!,"",0,1),""),"")</f>
        <v/>
      </c>
      <c r="AR47" s="12" t="str" cm="1">
        <f t="array" ref="AR47">IFERROR(_xlfn.XLOOKUP($I47,#REF!,_xlfn.XLOOKUP(AR$10,#REF!,#REF!,"",0,1),""),"")</f>
        <v/>
      </c>
      <c r="AS47" s="12" t="str" cm="1">
        <f t="array" ref="AS47">IFERROR(_xlfn.XLOOKUP($I47,#REF!,_xlfn.XLOOKUP(AS$10,#REF!,#REF!,"",0,1),""),"")</f>
        <v/>
      </c>
      <c r="AT47" s="12" t="str" cm="1">
        <f t="array" ref="AT47">IFERROR(_xlfn.XLOOKUP($I47,#REF!,_xlfn.XLOOKUP(AT$10,#REF!,#REF!,"",0,1),""),"")</f>
        <v/>
      </c>
      <c r="AU47" s="12" t="str" cm="1">
        <f t="array" ref="AU47">IFERROR(_xlfn.XLOOKUP($I47,#REF!,_xlfn.XLOOKUP(AU$10,#REF!,#REF!,"",0,1),""),"")</f>
        <v/>
      </c>
      <c r="AV47" s="12" t="str" cm="1">
        <f t="array" ref="AV47">IFERROR(_xlfn.XLOOKUP($I47,#REF!,_xlfn.XLOOKUP(AV$10,#REF!,#REF!,"",0,1),""),"")</f>
        <v/>
      </c>
      <c r="AW47" s="12" t="str">
        <f>IFERROR(_xlfn.XLOOKUP($I47,#REF!,#REF!,""),"")</f>
        <v/>
      </c>
      <c r="AX47" s="12" t="str">
        <f>IFERROR(_xlfn.XLOOKUP($I47,#REF!,#REF!,""),"")</f>
        <v/>
      </c>
      <c r="AY47" s="12" t="str">
        <f>IFERROR(_xlfn.XLOOKUP($I47,#REF!,#REF!,""),"")</f>
        <v/>
      </c>
      <c r="AZ47" s="11" t="str" cm="1">
        <f t="array" ref="AZ47">IFERROR(_xlfn.XLOOKUP($I47,#REF!,_xlfn.XLOOKUP(AZ$10,#REF!,#REF!,"",0,1),""),"")</f>
        <v/>
      </c>
      <c r="BA47" s="11" t="str" cm="1">
        <f t="array" ref="BA47">IFERROR(_xlfn.XLOOKUP($I47,#REF!,_xlfn.XLOOKUP(BA$10,#REF!,#REF!,"",0,1),""),"")</f>
        <v/>
      </c>
      <c r="BB47" s="11" t="str">
        <f>IFERROR(_xlfn.XLOOKUP($I47,#REF!,#REF!,""),"")</f>
        <v/>
      </c>
      <c r="BC47" s="11" t="str">
        <f>IFERROR(_xlfn.XLOOKUP($I47,#REF!,#REF!,""),"")</f>
        <v/>
      </c>
      <c r="BD47" s="12" t="str" cm="1">
        <f t="array" ref="BD47">IFERROR(_xlfn.XLOOKUP($I47,#REF!,_xlfn.XLOOKUP(BD$10,#REF!,#REF!,"",0,1),""),"")</f>
        <v/>
      </c>
      <c r="BE47" s="12" t="str" cm="1">
        <f t="array" ref="BE47">IFERROR(_xlfn.XLOOKUP($I47,#REF!,_xlfn.XLOOKUP(BE$10,#REF!,#REF!,"",0,1),""),"")</f>
        <v/>
      </c>
      <c r="BF47" s="12" t="str" cm="1">
        <f t="array" ref="BF47">IFERROR(_xlfn.XLOOKUP($I47,#REF!,_xlfn.XLOOKUP(BF$10,#REF!,#REF!,"",0,1),""),"")</f>
        <v/>
      </c>
      <c r="BG47" s="12" t="str" cm="1">
        <f t="array" ref="BG47">IFERROR(_xlfn.XLOOKUP($I47,#REF!,_xlfn.XLOOKUP(BG$10,#REF!,#REF!,"",0,1),""),"")</f>
        <v/>
      </c>
      <c r="BH47" s="12" t="str" cm="1">
        <f t="array" ref="BH47">IFERROR(_xlfn.XLOOKUP($I47,#REF!,_xlfn.XLOOKUP(BH$10,#REF!,#REF!,"",0,1),""),"")</f>
        <v/>
      </c>
      <c r="BI47" s="12" t="str" cm="1">
        <f t="array" ref="BI47">IFERROR(_xlfn.XLOOKUP($I47,#REF!,_xlfn.XLOOKUP(BI$10,#REF!,#REF!,"",0,1),""),"")</f>
        <v/>
      </c>
      <c r="BJ47" s="12" t="str" cm="1">
        <f t="array" ref="BJ47">IFERROR(_xlfn.XLOOKUP($I47,#REF!,_xlfn.XLOOKUP(BJ$10,#REF!,#REF!,"",0,1),""),"")</f>
        <v/>
      </c>
      <c r="BK47" s="12" t="str" cm="1">
        <f t="array" ref="BK47">IFERROR(_xlfn.XLOOKUP($I47,#REF!,_xlfn.XLOOKUP(BK$10,#REF!,#REF!,"",0,1),""),"")</f>
        <v/>
      </c>
      <c r="BL47" s="12" t="str" cm="1">
        <f t="array" ref="BL47">IFERROR(_xlfn.XLOOKUP($I47,#REF!,_xlfn.XLOOKUP(BL$10,#REF!,#REF!,"",0,1),""),"")</f>
        <v/>
      </c>
      <c r="BM47" s="12" t="str">
        <f>IFERROR(_xlfn.XLOOKUP($I47,#REF!,#REF!,""),"")</f>
        <v/>
      </c>
      <c r="BN47" s="12" t="str">
        <f>IFERROR(_xlfn.XLOOKUP($I47,#REF!,#REF!,""),"")</f>
        <v/>
      </c>
      <c r="BO47" s="12" t="str">
        <f>IFERROR(_xlfn.XLOOKUP($I47,#REF!,#REF!,""),"")</f>
        <v/>
      </c>
      <c r="BP47" s="12" t="str" cm="1">
        <f t="array" ref="BP47">IFERROR(_xlfn.XLOOKUP($I47,#REF!,_xlfn.XLOOKUP(BP$10,#REF!,#REF!,"",0,1),""),"")</f>
        <v/>
      </c>
      <c r="BQ47" s="12" t="str">
        <f>IFERROR(_xlfn.XLOOKUP($I47,#REF!,#REF!,""),"")</f>
        <v/>
      </c>
      <c r="BR47" s="12" t="str">
        <f>IFERROR(_xlfn.XLOOKUP($I47,#REF!,#REF!,""),"")</f>
        <v/>
      </c>
      <c r="BS47" s="12" t="str">
        <f>IFERROR(_xlfn.XLOOKUP($I47,#REF!,#REF!,""),"")</f>
        <v/>
      </c>
      <c r="BT47" s="11" t="str">
        <f>IFERROR(_xlfn.XLOOKUP($I47,#REF!,#REF!,""),"")</f>
        <v/>
      </c>
      <c r="BU47" s="11" t="str">
        <f>IFERROR(_xlfn.XLOOKUP($I47,#REF!,#REF!,""),"")</f>
        <v/>
      </c>
      <c r="BV47" s="32" t="str">
        <f>IFERROR(_xlfn.XLOOKUP($I47,#REF!,#REF!,""),"")</f>
        <v/>
      </c>
      <c r="BW47" s="12" t="str">
        <f>IFERROR(_xlfn.XLOOKUP($I47,#REF!,#REF!,""),"")</f>
        <v/>
      </c>
    </row>
    <row r="48" spans="3:75" ht="52.35" customHeight="1" x14ac:dyDescent="0.3">
      <c r="C48" s="22" t="str">
        <f>IFERROR(_xlfn.XLOOKUP($I48,#REF!,#REF!,""),"")</f>
        <v/>
      </c>
      <c r="D48" s="19" t="str">
        <f>IFERROR(_xlfn.XLOOKUP($I48,#REF!,#REF!,""),"")</f>
        <v/>
      </c>
      <c r="E48" s="23" t="str">
        <f>IFERROR(_xlfn.XLOOKUP($I48,#REF!,#REF!,""),"")</f>
        <v/>
      </c>
      <c r="F48" s="19" t="str">
        <f>IFERROR(_xlfn.XLOOKUP($I48,#REF!,#REF!,""),"")</f>
        <v/>
      </c>
      <c r="G48" s="19" t="str">
        <f>IFERROR(_xlfn.XLOOKUP($I48,#REF!,#REF!,""),"")</f>
        <v/>
      </c>
      <c r="H48" s="19" t="str">
        <f>IFERROR(_xlfn.XLOOKUP($I48,#REF!,#REF!,""),"")</f>
        <v/>
      </c>
      <c r="I48" s="77">
        <v>102633</v>
      </c>
      <c r="J48" s="12" t="str" cm="1">
        <f t="array" ref="J48">IFERROR(_xlfn.XLOOKUP($I48,#REF!,_xlfn.XLOOKUP(J$10,#REF!,#REF!,"",0,1),""),"")</f>
        <v/>
      </c>
      <c r="K48" s="12" t="str" cm="1">
        <f t="array" ref="K48">IFERROR(_xlfn.XLOOKUP($I48,#REF!,_xlfn.XLOOKUP(K$10,#REF!,#REF!,"",0,1),""),"")</f>
        <v/>
      </c>
      <c r="L48" s="12" t="str" cm="1">
        <f t="array" ref="L48">IFERROR(_xlfn.XLOOKUP($I48,#REF!,_xlfn.XLOOKUP(L$10,#REF!,#REF!,"",0,1),""),"")</f>
        <v/>
      </c>
      <c r="M48" s="36" t="str" cm="1">
        <f t="array" ref="M48">IFERROR(_xlfn.XLOOKUP($I48,#REF!,_xlfn.XLOOKUP(M$10,#REF!,#REF!,"",0,1),""),"")</f>
        <v/>
      </c>
      <c r="N48" s="37" t="str" cm="1">
        <f t="array" ref="N48">IFERROR(_xlfn.XLOOKUP($I48,#REF!,_xlfn.XLOOKUP(N$10,#REF!,#REF!,"",0,1),""),"")</f>
        <v/>
      </c>
      <c r="O48" s="12" t="str" cm="1">
        <f t="array" ref="O48">IFERROR(_xlfn.XLOOKUP($I48,#REF!,_xlfn.XLOOKUP(O$10,#REF!,#REF!,"",0,1),""),"")</f>
        <v/>
      </c>
      <c r="P48" s="12" t="str" cm="1">
        <f t="array" ref="P48">IFERROR(_xlfn.XLOOKUP($I48,#REF!,_xlfn.XLOOKUP(P$10,#REF!,#REF!,"",0,1),""),"")</f>
        <v/>
      </c>
      <c r="Q48" s="12" t="str" cm="1">
        <f t="array" ref="Q48">IFERROR(_xlfn.XLOOKUP($I48,#REF!,_xlfn.XLOOKUP(Q$10,#REF!,#REF!,"",0,1),""),"")</f>
        <v/>
      </c>
      <c r="R48" s="12" t="str" cm="1">
        <f t="array" ref="R48">IFERROR(_xlfn.XLOOKUP($I48,#REF!,_xlfn.XLOOKUP(R$10,#REF!,#REF!,"",0,1),""),"")</f>
        <v/>
      </c>
      <c r="S48" s="12" t="str">
        <f>IFERROR(_xlfn.XLOOKUP($I48,#REF!,#REF!,""),"")</f>
        <v/>
      </c>
      <c r="T48" s="12" t="str">
        <f>IFERROR(_xlfn.XLOOKUP($I48,#REF!,#REF!,""),"")</f>
        <v/>
      </c>
      <c r="U48" s="12" t="str">
        <f>IFERROR(_xlfn.XLOOKUP($I48,#REF!,#REF!,""),"")</f>
        <v/>
      </c>
      <c r="V48" s="12" t="str">
        <f>IFERROR(_xlfn.XLOOKUP($I48,#REF!,#REF!,""),"")</f>
        <v/>
      </c>
      <c r="W48" s="74" t="str" cm="1">
        <f t="array" ref="W48">IFERROR(_xlfn.XLOOKUP($I48,#REF!,_xlfn.XLOOKUP(W$10,#REF!,#REF!,"",0,1),""),"")</f>
        <v/>
      </c>
      <c r="X48" s="74" t="str" cm="1">
        <f t="array" ref="X48">IFERROR(_xlfn.XLOOKUP($I48,#REF!,_xlfn.XLOOKUP(X$10,#REF!,#REF!,"",0,1),""),"")</f>
        <v/>
      </c>
      <c r="Y48" s="74" t="str" cm="1">
        <f t="array" ref="Y48">IFERROR(_xlfn.XLOOKUP($I48,#REF!,_xlfn.XLOOKUP(Y$10,#REF!,#REF!,"",0,1),""),"")</f>
        <v/>
      </c>
      <c r="Z48" s="74" t="str" cm="1">
        <f t="array" ref="Z48">IFERROR(_xlfn.XLOOKUP($I48,#REF!,_xlfn.XLOOKUP(Z$10,#REF!,#REF!,"",0,1),""),"")</f>
        <v/>
      </c>
      <c r="AA48" s="74" t="str" cm="1">
        <f t="array" ref="AA48">IFERROR(_xlfn.XLOOKUP($I48,#REF!,_xlfn.XLOOKUP(AA$10,#REF!,#REF!,"",0,1),""),"")</f>
        <v/>
      </c>
      <c r="AB48" s="12" t="str" cm="1">
        <f t="array" ref="AB48">IFERROR(_xlfn.XLOOKUP($I48,#REF!,_xlfn.XLOOKUP(AB$10,#REF!,#REF!,"",0,1),""),"")</f>
        <v/>
      </c>
      <c r="AC48" s="52" t="str" cm="1">
        <f t="array" ref="AC48">IFERROR(_xlfn.XLOOKUP($I48,#REF!,_xlfn.XLOOKUP(AC$10,#REF!,#REF!,"",0,1),""),"")</f>
        <v/>
      </c>
      <c r="AD48" s="12" t="str" cm="1">
        <f t="array" ref="AD48">IFERROR(_xlfn.XLOOKUP($I48,#REF!,_xlfn.XLOOKUP(AD$10,#REF!,#REF!,"",0,1),""),"")</f>
        <v/>
      </c>
      <c r="AE48" s="12"/>
      <c r="AF48" s="12" t="str" cm="1">
        <f t="array" ref="AF48">IFERROR(_xlfn.XLOOKUP($I48,#REF!,_xlfn.XLOOKUP(AF$10,#REF!,#REF!,"",0,1),""),"")</f>
        <v/>
      </c>
      <c r="AG48" s="12" t="str" cm="1">
        <f t="array" ref="AG48">IFERROR(_xlfn.XLOOKUP($I48,#REF!,_xlfn.XLOOKUP(AG$10,#REF!,#REF!,"",0,1),""),"")</f>
        <v/>
      </c>
      <c r="AH48" s="12" t="str" cm="1">
        <f t="array" ref="AH48">IFERROR(_xlfn.XLOOKUP($I48,#REF!,_xlfn.XLOOKUP(AH$10,#REF!,#REF!,"",0,1),""),"")</f>
        <v/>
      </c>
      <c r="AI48" s="12" t="str" cm="1">
        <f t="array" ref="AI48">IFERROR(_xlfn.XLOOKUP($I48,#REF!,_xlfn.XLOOKUP(AI$10,#REF!,#REF!,"",0,1),""),"")</f>
        <v/>
      </c>
      <c r="AJ48" s="12"/>
      <c r="AK48" s="12"/>
      <c r="AL48" s="11" t="str" cm="1">
        <f t="array" ref="AL48">IFERROR(_xlfn.XLOOKUP($I48,#REF!,_xlfn.XLOOKUP(AL$10,#REF!,#REF!,"",0,1),""),"")</f>
        <v/>
      </c>
      <c r="AM48" s="11" t="str" cm="1">
        <f t="array" ref="AM48">IFERROR(_xlfn.XLOOKUP($I48,#REF!,_xlfn.XLOOKUP(AM$10,#REF!,#REF!,"",0,1),""),"")</f>
        <v/>
      </c>
      <c r="AN48" s="11" t="str" cm="1">
        <f t="array" ref="AN48">IFERROR(_xlfn.XLOOKUP($I48,#REF!,_xlfn.XLOOKUP(AN$10,#REF!,#REF!,"",0,1),""),"")</f>
        <v/>
      </c>
      <c r="AO48" s="11" t="str" cm="1">
        <f t="array" ref="AO48">IFERROR(_xlfn.XLOOKUP($I48,#REF!,_xlfn.XLOOKUP(AO$10,#REF!,#REF!,"",0,1),""),"")</f>
        <v/>
      </c>
      <c r="AP48" s="11" t="str" cm="1">
        <f t="array" ref="AP48">IFERROR(_xlfn.XLOOKUP($I48,#REF!,_xlfn.XLOOKUP(AP$10,#REF!,#REF!,"",0,1),""),"")</f>
        <v/>
      </c>
      <c r="AQ48" s="11" t="str" cm="1">
        <f t="array" ref="AQ48">IFERROR(_xlfn.XLOOKUP($I48,#REF!,_xlfn.XLOOKUP(AQ$10,#REF!,#REF!,"",0,1),""),"")</f>
        <v/>
      </c>
      <c r="AR48" s="12" t="str" cm="1">
        <f t="array" ref="AR48">IFERROR(_xlfn.XLOOKUP($I48,#REF!,_xlfn.XLOOKUP(AR$10,#REF!,#REF!,"",0,1),""),"")</f>
        <v/>
      </c>
      <c r="AS48" s="12" t="str" cm="1">
        <f t="array" ref="AS48">IFERROR(_xlfn.XLOOKUP($I48,#REF!,_xlfn.XLOOKUP(AS$10,#REF!,#REF!,"",0,1),""),"")</f>
        <v/>
      </c>
      <c r="AT48" s="12" t="str" cm="1">
        <f t="array" ref="AT48">IFERROR(_xlfn.XLOOKUP($I48,#REF!,_xlfn.XLOOKUP(AT$10,#REF!,#REF!,"",0,1),""),"")</f>
        <v/>
      </c>
      <c r="AU48" s="12" t="str" cm="1">
        <f t="array" ref="AU48">IFERROR(_xlfn.XLOOKUP($I48,#REF!,_xlfn.XLOOKUP(AU$10,#REF!,#REF!,"",0,1),""),"")</f>
        <v/>
      </c>
      <c r="AV48" s="12" t="str" cm="1">
        <f t="array" ref="AV48">IFERROR(_xlfn.XLOOKUP($I48,#REF!,_xlfn.XLOOKUP(AV$10,#REF!,#REF!,"",0,1),""),"")</f>
        <v/>
      </c>
      <c r="AW48" s="12" t="str">
        <f>IFERROR(_xlfn.XLOOKUP($I48,#REF!,#REF!,""),"")</f>
        <v/>
      </c>
      <c r="AX48" s="12" t="str">
        <f>IFERROR(_xlfn.XLOOKUP($I48,#REF!,#REF!,""),"")</f>
        <v/>
      </c>
      <c r="AY48" s="12" t="str">
        <f>IFERROR(_xlfn.XLOOKUP($I48,#REF!,#REF!,""),"")</f>
        <v/>
      </c>
      <c r="AZ48" s="11" t="str" cm="1">
        <f t="array" ref="AZ48">IFERROR(_xlfn.XLOOKUP($I48,#REF!,_xlfn.XLOOKUP(AZ$10,#REF!,#REF!,"",0,1),""),"")</f>
        <v/>
      </c>
      <c r="BA48" s="11" t="str" cm="1">
        <f t="array" ref="BA48">IFERROR(_xlfn.XLOOKUP($I48,#REF!,_xlfn.XLOOKUP(BA$10,#REF!,#REF!,"",0,1),""),"")</f>
        <v/>
      </c>
      <c r="BB48" s="11" t="str">
        <f>IFERROR(_xlfn.XLOOKUP($I48,#REF!,#REF!,""),"")</f>
        <v/>
      </c>
      <c r="BC48" s="11" t="str">
        <f>IFERROR(_xlfn.XLOOKUP($I48,#REF!,#REF!,""),"")</f>
        <v/>
      </c>
      <c r="BD48" s="12" t="str" cm="1">
        <f t="array" ref="BD48">IFERROR(_xlfn.XLOOKUP($I48,#REF!,_xlfn.XLOOKUP(BD$10,#REF!,#REF!,"",0,1),""),"")</f>
        <v/>
      </c>
      <c r="BE48" s="12" t="str" cm="1">
        <f t="array" ref="BE48">IFERROR(_xlfn.XLOOKUP($I48,#REF!,_xlfn.XLOOKUP(BE$10,#REF!,#REF!,"",0,1),""),"")</f>
        <v/>
      </c>
      <c r="BF48" s="12" t="str" cm="1">
        <f t="array" ref="BF48">IFERROR(_xlfn.XLOOKUP($I48,#REF!,_xlfn.XLOOKUP(BF$10,#REF!,#REF!,"",0,1),""),"")</f>
        <v/>
      </c>
      <c r="BG48" s="12" t="str" cm="1">
        <f t="array" ref="BG48">IFERROR(_xlfn.XLOOKUP($I48,#REF!,_xlfn.XLOOKUP(BG$10,#REF!,#REF!,"",0,1),""),"")</f>
        <v/>
      </c>
      <c r="BH48" s="12" t="str" cm="1">
        <f t="array" ref="BH48">IFERROR(_xlfn.XLOOKUP($I48,#REF!,_xlfn.XLOOKUP(BH$10,#REF!,#REF!,"",0,1),""),"")</f>
        <v/>
      </c>
      <c r="BI48" s="12" t="str" cm="1">
        <f t="array" ref="BI48">IFERROR(_xlfn.XLOOKUP($I48,#REF!,_xlfn.XLOOKUP(BI$10,#REF!,#REF!,"",0,1),""),"")</f>
        <v/>
      </c>
      <c r="BJ48" s="12" t="str" cm="1">
        <f t="array" ref="BJ48">IFERROR(_xlfn.XLOOKUP($I48,#REF!,_xlfn.XLOOKUP(BJ$10,#REF!,#REF!,"",0,1),""),"")</f>
        <v/>
      </c>
      <c r="BK48" s="12" t="str" cm="1">
        <f t="array" ref="BK48">IFERROR(_xlfn.XLOOKUP($I48,#REF!,_xlfn.XLOOKUP(BK$10,#REF!,#REF!,"",0,1),""),"")</f>
        <v/>
      </c>
      <c r="BL48" s="12" t="str" cm="1">
        <f t="array" ref="BL48">IFERROR(_xlfn.XLOOKUP($I48,#REF!,_xlfn.XLOOKUP(BL$10,#REF!,#REF!,"",0,1),""),"")</f>
        <v/>
      </c>
      <c r="BM48" s="12" t="str">
        <f>IFERROR(_xlfn.XLOOKUP($I48,#REF!,#REF!,""),"")</f>
        <v/>
      </c>
      <c r="BN48" s="12" t="str">
        <f>IFERROR(_xlfn.XLOOKUP($I48,#REF!,#REF!,""),"")</f>
        <v/>
      </c>
      <c r="BO48" s="12" t="str">
        <f>IFERROR(_xlfn.XLOOKUP($I48,#REF!,#REF!,""),"")</f>
        <v/>
      </c>
      <c r="BP48" s="12" t="str" cm="1">
        <f t="array" ref="BP48">IFERROR(_xlfn.XLOOKUP($I48,#REF!,_xlfn.XLOOKUP(BP$10,#REF!,#REF!,"",0,1),""),"")</f>
        <v/>
      </c>
      <c r="BQ48" s="12" t="str">
        <f>IFERROR(_xlfn.XLOOKUP($I48,#REF!,#REF!,""),"")</f>
        <v/>
      </c>
      <c r="BR48" s="12" t="str">
        <f>IFERROR(_xlfn.XLOOKUP($I48,#REF!,#REF!,""),"")</f>
        <v/>
      </c>
      <c r="BS48" s="12" t="str">
        <f>IFERROR(_xlfn.XLOOKUP($I48,#REF!,#REF!,""),"")</f>
        <v/>
      </c>
      <c r="BT48" s="11" t="str">
        <f>IFERROR(_xlfn.XLOOKUP($I48,#REF!,#REF!,""),"")</f>
        <v/>
      </c>
      <c r="BU48" s="11" t="str">
        <f>IFERROR(_xlfn.XLOOKUP($I48,#REF!,#REF!,""),"")</f>
        <v/>
      </c>
      <c r="BV48" s="32" t="str">
        <f>IFERROR(_xlfn.XLOOKUP($I48,#REF!,#REF!,""),"")</f>
        <v/>
      </c>
      <c r="BW48" s="12" t="str">
        <f>IFERROR(_xlfn.XLOOKUP($I48,#REF!,#REF!,""),"")</f>
        <v/>
      </c>
    </row>
    <row r="49" spans="3:75" ht="52.35" customHeight="1" x14ac:dyDescent="0.3">
      <c r="C49" s="22" t="str">
        <f>IFERROR(_xlfn.XLOOKUP($I49,#REF!,#REF!,""),"")</f>
        <v/>
      </c>
      <c r="D49" s="19" t="str">
        <f>IFERROR(_xlfn.XLOOKUP($I49,#REF!,#REF!,""),"")</f>
        <v/>
      </c>
      <c r="E49" s="23" t="str">
        <f>IFERROR(_xlfn.XLOOKUP($I49,#REF!,#REF!,""),"")</f>
        <v/>
      </c>
      <c r="F49" s="19" t="str">
        <f>IFERROR(_xlfn.XLOOKUP($I49,#REF!,#REF!,""),"")</f>
        <v/>
      </c>
      <c r="G49" s="19" t="str">
        <f>IFERROR(_xlfn.XLOOKUP($I49,#REF!,#REF!,""),"")</f>
        <v/>
      </c>
      <c r="H49" s="19" t="str">
        <f>IFERROR(_xlfn.XLOOKUP($I49,#REF!,#REF!,""),"")</f>
        <v/>
      </c>
      <c r="I49" s="77">
        <v>102632</v>
      </c>
      <c r="J49" s="12" t="str" cm="1">
        <f t="array" ref="J49">IFERROR(_xlfn.XLOOKUP($I49,#REF!,_xlfn.XLOOKUP(J$10,#REF!,#REF!,"",0,1),""),"")</f>
        <v/>
      </c>
      <c r="K49" s="12" t="str" cm="1">
        <f t="array" ref="K49">IFERROR(_xlfn.XLOOKUP($I49,#REF!,_xlfn.XLOOKUP(K$10,#REF!,#REF!,"",0,1),""),"")</f>
        <v/>
      </c>
      <c r="L49" s="12" t="str" cm="1">
        <f t="array" ref="L49">IFERROR(_xlfn.XLOOKUP($I49,#REF!,_xlfn.XLOOKUP(L$10,#REF!,#REF!,"",0,1),""),"")</f>
        <v/>
      </c>
      <c r="M49" s="36" t="str" cm="1">
        <f t="array" ref="M49">IFERROR(_xlfn.XLOOKUP($I49,#REF!,_xlfn.XLOOKUP(M$10,#REF!,#REF!,"",0,1),""),"")</f>
        <v/>
      </c>
      <c r="N49" s="37" t="str" cm="1">
        <f t="array" ref="N49">IFERROR(_xlfn.XLOOKUP($I49,#REF!,_xlfn.XLOOKUP(N$10,#REF!,#REF!,"",0,1),""),"")</f>
        <v/>
      </c>
      <c r="O49" s="12" t="str" cm="1">
        <f t="array" ref="O49">IFERROR(_xlfn.XLOOKUP($I49,#REF!,_xlfn.XLOOKUP(O$10,#REF!,#REF!,"",0,1),""),"")</f>
        <v/>
      </c>
      <c r="P49" s="12" t="str" cm="1">
        <f t="array" ref="P49">IFERROR(_xlfn.XLOOKUP($I49,#REF!,_xlfn.XLOOKUP(P$10,#REF!,#REF!,"",0,1),""),"")</f>
        <v/>
      </c>
      <c r="Q49" s="12" t="str" cm="1">
        <f t="array" ref="Q49">IFERROR(_xlfn.XLOOKUP($I49,#REF!,_xlfn.XLOOKUP(Q$10,#REF!,#REF!,"",0,1),""),"")</f>
        <v/>
      </c>
      <c r="R49" s="12" t="str" cm="1">
        <f t="array" ref="R49">IFERROR(_xlfn.XLOOKUP($I49,#REF!,_xlfn.XLOOKUP(R$10,#REF!,#REF!,"",0,1),""),"")</f>
        <v/>
      </c>
      <c r="S49" s="12" t="str">
        <f>IFERROR(_xlfn.XLOOKUP($I49,#REF!,#REF!,""),"")</f>
        <v/>
      </c>
      <c r="T49" s="12" t="str">
        <f>IFERROR(_xlfn.XLOOKUP($I49,#REF!,#REF!,""),"")</f>
        <v/>
      </c>
      <c r="U49" s="12" t="str">
        <f>IFERROR(_xlfn.XLOOKUP($I49,#REF!,#REF!,""),"")</f>
        <v/>
      </c>
      <c r="V49" s="12" t="str">
        <f>IFERROR(_xlfn.XLOOKUP($I49,#REF!,#REF!,""),"")</f>
        <v/>
      </c>
      <c r="W49" s="74" t="str" cm="1">
        <f t="array" ref="W49">IFERROR(_xlfn.XLOOKUP($I49,#REF!,_xlfn.XLOOKUP(W$10,#REF!,#REF!,"",0,1),""),"")</f>
        <v/>
      </c>
      <c r="X49" s="74" t="str" cm="1">
        <f t="array" ref="X49">IFERROR(_xlfn.XLOOKUP($I49,#REF!,_xlfn.XLOOKUP(X$10,#REF!,#REF!,"",0,1),""),"")</f>
        <v/>
      </c>
      <c r="Y49" s="74" t="str" cm="1">
        <f t="array" ref="Y49">IFERROR(_xlfn.XLOOKUP($I49,#REF!,_xlfn.XLOOKUP(Y$10,#REF!,#REF!,"",0,1),""),"")</f>
        <v/>
      </c>
      <c r="Z49" s="74" t="str" cm="1">
        <f t="array" ref="Z49">IFERROR(_xlfn.XLOOKUP($I49,#REF!,_xlfn.XLOOKUP(Z$10,#REF!,#REF!,"",0,1),""),"")</f>
        <v/>
      </c>
      <c r="AA49" s="74" t="str" cm="1">
        <f t="array" ref="AA49">IFERROR(_xlfn.XLOOKUP($I49,#REF!,_xlfn.XLOOKUP(AA$10,#REF!,#REF!,"",0,1),""),"")</f>
        <v/>
      </c>
      <c r="AB49" s="12" t="str" cm="1">
        <f t="array" ref="AB49">IFERROR(_xlfn.XLOOKUP($I49,#REF!,_xlfn.XLOOKUP(AB$10,#REF!,#REF!,"",0,1),""),"")</f>
        <v/>
      </c>
      <c r="AC49" s="52" t="str" cm="1">
        <f t="array" ref="AC49">IFERROR(_xlfn.XLOOKUP($I49,#REF!,_xlfn.XLOOKUP(AC$10,#REF!,#REF!,"",0,1),""),"")</f>
        <v/>
      </c>
      <c r="AD49" s="12" t="str" cm="1">
        <f t="array" ref="AD49">IFERROR(_xlfn.XLOOKUP($I49,#REF!,_xlfn.XLOOKUP(AD$10,#REF!,#REF!,"",0,1),""),"")</f>
        <v/>
      </c>
      <c r="AE49" s="12"/>
      <c r="AF49" s="12" t="str" cm="1">
        <f t="array" ref="AF49">IFERROR(_xlfn.XLOOKUP($I49,#REF!,_xlfn.XLOOKUP(AF$10,#REF!,#REF!,"",0,1),""),"")</f>
        <v/>
      </c>
      <c r="AG49" s="12" t="str" cm="1">
        <f t="array" ref="AG49">IFERROR(_xlfn.XLOOKUP($I49,#REF!,_xlfn.XLOOKUP(AG$10,#REF!,#REF!,"",0,1),""),"")</f>
        <v/>
      </c>
      <c r="AH49" s="12" t="str" cm="1">
        <f t="array" ref="AH49">IFERROR(_xlfn.XLOOKUP($I49,#REF!,_xlfn.XLOOKUP(AH$10,#REF!,#REF!,"",0,1),""),"")</f>
        <v/>
      </c>
      <c r="AI49" s="12" t="str" cm="1">
        <f t="array" ref="AI49">IFERROR(_xlfn.XLOOKUP($I49,#REF!,_xlfn.XLOOKUP(AI$10,#REF!,#REF!,"",0,1),""),"")</f>
        <v/>
      </c>
      <c r="AJ49" s="12"/>
      <c r="AK49" s="12"/>
      <c r="AL49" s="11" t="str" cm="1">
        <f t="array" ref="AL49">IFERROR(_xlfn.XLOOKUP($I49,#REF!,_xlfn.XLOOKUP(AL$10,#REF!,#REF!,"",0,1),""),"")</f>
        <v/>
      </c>
      <c r="AM49" s="11" t="str" cm="1">
        <f t="array" ref="AM49">IFERROR(_xlfn.XLOOKUP($I49,#REF!,_xlfn.XLOOKUP(AM$10,#REF!,#REF!,"",0,1),""),"")</f>
        <v/>
      </c>
      <c r="AN49" s="11" t="str" cm="1">
        <f t="array" ref="AN49">IFERROR(_xlfn.XLOOKUP($I49,#REF!,_xlfn.XLOOKUP(AN$10,#REF!,#REF!,"",0,1),""),"")</f>
        <v/>
      </c>
      <c r="AO49" s="11" t="str" cm="1">
        <f t="array" ref="AO49">IFERROR(_xlfn.XLOOKUP($I49,#REF!,_xlfn.XLOOKUP(AO$10,#REF!,#REF!,"",0,1),""),"")</f>
        <v/>
      </c>
      <c r="AP49" s="11" t="str" cm="1">
        <f t="array" ref="AP49">IFERROR(_xlfn.XLOOKUP($I49,#REF!,_xlfn.XLOOKUP(AP$10,#REF!,#REF!,"",0,1),""),"")</f>
        <v/>
      </c>
      <c r="AQ49" s="11" t="str" cm="1">
        <f t="array" ref="AQ49">IFERROR(_xlfn.XLOOKUP($I49,#REF!,_xlfn.XLOOKUP(AQ$10,#REF!,#REF!,"",0,1),""),"")</f>
        <v/>
      </c>
      <c r="AR49" s="12" t="str" cm="1">
        <f t="array" ref="AR49">IFERROR(_xlfn.XLOOKUP($I49,#REF!,_xlfn.XLOOKUP(AR$10,#REF!,#REF!,"",0,1),""),"")</f>
        <v/>
      </c>
      <c r="AS49" s="12" t="str" cm="1">
        <f t="array" ref="AS49">IFERROR(_xlfn.XLOOKUP($I49,#REF!,_xlfn.XLOOKUP(AS$10,#REF!,#REF!,"",0,1),""),"")</f>
        <v/>
      </c>
      <c r="AT49" s="12" t="str" cm="1">
        <f t="array" ref="AT49">IFERROR(_xlfn.XLOOKUP($I49,#REF!,_xlfn.XLOOKUP(AT$10,#REF!,#REF!,"",0,1),""),"")</f>
        <v/>
      </c>
      <c r="AU49" s="12" t="str" cm="1">
        <f t="array" ref="AU49">IFERROR(_xlfn.XLOOKUP($I49,#REF!,_xlfn.XLOOKUP(AU$10,#REF!,#REF!,"",0,1),""),"")</f>
        <v/>
      </c>
      <c r="AV49" s="12" t="str" cm="1">
        <f t="array" ref="AV49">IFERROR(_xlfn.XLOOKUP($I49,#REF!,_xlfn.XLOOKUP(AV$10,#REF!,#REF!,"",0,1),""),"")</f>
        <v/>
      </c>
      <c r="AW49" s="12" t="str">
        <f>IFERROR(_xlfn.XLOOKUP($I49,#REF!,#REF!,""),"")</f>
        <v/>
      </c>
      <c r="AX49" s="12" t="str">
        <f>IFERROR(_xlfn.XLOOKUP($I49,#REF!,#REF!,""),"")</f>
        <v/>
      </c>
      <c r="AY49" s="12" t="str">
        <f>IFERROR(_xlfn.XLOOKUP($I49,#REF!,#REF!,""),"")</f>
        <v/>
      </c>
      <c r="AZ49" s="11" t="str" cm="1">
        <f t="array" ref="AZ49">IFERROR(_xlfn.XLOOKUP($I49,#REF!,_xlfn.XLOOKUP(AZ$10,#REF!,#REF!,"",0,1),""),"")</f>
        <v/>
      </c>
      <c r="BA49" s="11" t="str" cm="1">
        <f t="array" ref="BA49">IFERROR(_xlfn.XLOOKUP($I49,#REF!,_xlfn.XLOOKUP(BA$10,#REF!,#REF!,"",0,1),""),"")</f>
        <v/>
      </c>
      <c r="BB49" s="11" t="str">
        <f>IFERROR(_xlfn.XLOOKUP($I49,#REF!,#REF!,""),"")</f>
        <v/>
      </c>
      <c r="BC49" s="11" t="str">
        <f>IFERROR(_xlfn.XLOOKUP($I49,#REF!,#REF!,""),"")</f>
        <v/>
      </c>
      <c r="BD49" s="12" t="str" cm="1">
        <f t="array" ref="BD49">IFERROR(_xlfn.XLOOKUP($I49,#REF!,_xlfn.XLOOKUP(BD$10,#REF!,#REF!,"",0,1),""),"")</f>
        <v/>
      </c>
      <c r="BE49" s="12" t="str" cm="1">
        <f t="array" ref="BE49">IFERROR(_xlfn.XLOOKUP($I49,#REF!,_xlfn.XLOOKUP(BE$10,#REF!,#REF!,"",0,1),""),"")</f>
        <v/>
      </c>
      <c r="BF49" s="12" t="str" cm="1">
        <f t="array" ref="BF49">IFERROR(_xlfn.XLOOKUP($I49,#REF!,_xlfn.XLOOKUP(BF$10,#REF!,#REF!,"",0,1),""),"")</f>
        <v/>
      </c>
      <c r="BG49" s="12" t="str" cm="1">
        <f t="array" ref="BG49">IFERROR(_xlfn.XLOOKUP($I49,#REF!,_xlfn.XLOOKUP(BG$10,#REF!,#REF!,"",0,1),""),"")</f>
        <v/>
      </c>
      <c r="BH49" s="12" t="str" cm="1">
        <f t="array" ref="BH49">IFERROR(_xlfn.XLOOKUP($I49,#REF!,_xlfn.XLOOKUP(BH$10,#REF!,#REF!,"",0,1),""),"")</f>
        <v/>
      </c>
      <c r="BI49" s="12" t="str" cm="1">
        <f t="array" ref="BI49">IFERROR(_xlfn.XLOOKUP($I49,#REF!,_xlfn.XLOOKUP(BI$10,#REF!,#REF!,"",0,1),""),"")</f>
        <v/>
      </c>
      <c r="BJ49" s="12" t="str" cm="1">
        <f t="array" ref="BJ49">IFERROR(_xlfn.XLOOKUP($I49,#REF!,_xlfn.XLOOKUP(BJ$10,#REF!,#REF!,"",0,1),""),"")</f>
        <v/>
      </c>
      <c r="BK49" s="12" t="str" cm="1">
        <f t="array" ref="BK49">IFERROR(_xlfn.XLOOKUP($I49,#REF!,_xlfn.XLOOKUP(BK$10,#REF!,#REF!,"",0,1),""),"")</f>
        <v/>
      </c>
      <c r="BL49" s="12" t="str" cm="1">
        <f t="array" ref="BL49">IFERROR(_xlfn.XLOOKUP($I49,#REF!,_xlfn.XLOOKUP(BL$10,#REF!,#REF!,"",0,1),""),"")</f>
        <v/>
      </c>
      <c r="BM49" s="12" t="str">
        <f>IFERROR(_xlfn.XLOOKUP($I49,#REF!,#REF!,""),"")</f>
        <v/>
      </c>
      <c r="BN49" s="12" t="str">
        <f>IFERROR(_xlfn.XLOOKUP($I49,#REF!,#REF!,""),"")</f>
        <v/>
      </c>
      <c r="BO49" s="12" t="str">
        <f>IFERROR(_xlfn.XLOOKUP($I49,#REF!,#REF!,""),"")</f>
        <v/>
      </c>
      <c r="BP49" s="12" t="str" cm="1">
        <f t="array" ref="BP49">IFERROR(_xlfn.XLOOKUP($I49,#REF!,_xlfn.XLOOKUP(BP$10,#REF!,#REF!,"",0,1),""),"")</f>
        <v/>
      </c>
      <c r="BQ49" s="12" t="str">
        <f>IFERROR(_xlfn.XLOOKUP($I49,#REF!,#REF!,""),"")</f>
        <v/>
      </c>
      <c r="BR49" s="12" t="str">
        <f>IFERROR(_xlfn.XLOOKUP($I49,#REF!,#REF!,""),"")</f>
        <v/>
      </c>
      <c r="BS49" s="12" t="str">
        <f>IFERROR(_xlfn.XLOOKUP($I49,#REF!,#REF!,""),"")</f>
        <v/>
      </c>
      <c r="BT49" s="11" t="str">
        <f>IFERROR(_xlfn.XLOOKUP($I49,#REF!,#REF!,""),"")</f>
        <v/>
      </c>
      <c r="BU49" s="11" t="str">
        <f>IFERROR(_xlfn.XLOOKUP($I49,#REF!,#REF!,""),"")</f>
        <v/>
      </c>
      <c r="BV49" s="32" t="str">
        <f>IFERROR(_xlfn.XLOOKUP($I49,#REF!,#REF!,""),"")</f>
        <v/>
      </c>
      <c r="BW49" s="12" t="str">
        <f>IFERROR(_xlfn.XLOOKUP($I49,#REF!,#REF!,""),"")</f>
        <v/>
      </c>
    </row>
    <row r="50" spans="3:75" ht="52.35" customHeight="1" x14ac:dyDescent="0.3">
      <c r="C50" s="22" t="str">
        <f>IFERROR(_xlfn.XLOOKUP($I50,#REF!,#REF!,""),"")</f>
        <v/>
      </c>
      <c r="D50" s="19" t="str">
        <f>IFERROR(_xlfn.XLOOKUP($I50,#REF!,#REF!,""),"")</f>
        <v/>
      </c>
      <c r="E50" s="23" t="str">
        <f>IFERROR(_xlfn.XLOOKUP($I50,#REF!,#REF!,""),"")</f>
        <v/>
      </c>
      <c r="F50" s="19" t="str">
        <f>IFERROR(_xlfn.XLOOKUP($I50,#REF!,#REF!,""),"")</f>
        <v/>
      </c>
      <c r="G50" s="19" t="str">
        <f>IFERROR(_xlfn.XLOOKUP($I50,#REF!,#REF!,""),"")</f>
        <v/>
      </c>
      <c r="H50" s="19" t="str">
        <f>IFERROR(_xlfn.XLOOKUP($I50,#REF!,#REF!,""),"")</f>
        <v/>
      </c>
      <c r="I50" s="77">
        <v>110043</v>
      </c>
      <c r="J50" s="12" t="str" cm="1">
        <f t="array" ref="J50">IFERROR(_xlfn.XLOOKUP($I50,#REF!,_xlfn.XLOOKUP(J$10,#REF!,#REF!,"",0,1),""),"")</f>
        <v/>
      </c>
      <c r="K50" s="12" t="str" cm="1">
        <f t="array" ref="K50">IFERROR(_xlfn.XLOOKUP($I50,#REF!,_xlfn.XLOOKUP(K$10,#REF!,#REF!,"",0,1),""),"")</f>
        <v/>
      </c>
      <c r="L50" s="12" t="str" cm="1">
        <f t="array" ref="L50">IFERROR(_xlfn.XLOOKUP($I50,#REF!,_xlfn.XLOOKUP(L$10,#REF!,#REF!,"",0,1),""),"")</f>
        <v/>
      </c>
      <c r="M50" s="36" t="str" cm="1">
        <f t="array" ref="M50">IFERROR(_xlfn.XLOOKUP($I50,#REF!,_xlfn.XLOOKUP(M$10,#REF!,#REF!,"",0,1),""),"")</f>
        <v/>
      </c>
      <c r="N50" s="37" t="str" cm="1">
        <f t="array" ref="N50">IFERROR(_xlfn.XLOOKUP($I50,#REF!,_xlfn.XLOOKUP(N$10,#REF!,#REF!,"",0,1),""),"")</f>
        <v/>
      </c>
      <c r="O50" s="12" t="str" cm="1">
        <f t="array" ref="O50">IFERROR(_xlfn.XLOOKUP($I50,#REF!,_xlfn.XLOOKUP(O$10,#REF!,#REF!,"",0,1),""),"")</f>
        <v/>
      </c>
      <c r="P50" s="12" t="str" cm="1">
        <f t="array" ref="P50">IFERROR(_xlfn.XLOOKUP($I50,#REF!,_xlfn.XLOOKUP(P$10,#REF!,#REF!,"",0,1),""),"")</f>
        <v/>
      </c>
      <c r="Q50" s="12" t="str" cm="1">
        <f t="array" ref="Q50">IFERROR(_xlfn.XLOOKUP($I50,#REF!,_xlfn.XLOOKUP(Q$10,#REF!,#REF!,"",0,1),""),"")</f>
        <v/>
      </c>
      <c r="R50" s="12" t="str" cm="1">
        <f t="array" ref="R50">IFERROR(_xlfn.XLOOKUP($I50,#REF!,_xlfn.XLOOKUP(R$10,#REF!,#REF!,"",0,1),""),"")</f>
        <v/>
      </c>
      <c r="S50" s="12" t="str">
        <f>IFERROR(_xlfn.XLOOKUP($I50,#REF!,#REF!,""),"")</f>
        <v/>
      </c>
      <c r="T50" s="12" t="str">
        <f>IFERROR(_xlfn.XLOOKUP($I50,#REF!,#REF!,""),"")</f>
        <v/>
      </c>
      <c r="U50" s="12" t="str">
        <f>IFERROR(_xlfn.XLOOKUP($I50,#REF!,#REF!,""),"")</f>
        <v/>
      </c>
      <c r="V50" s="12" t="str">
        <f>IFERROR(_xlfn.XLOOKUP($I50,#REF!,#REF!,""),"")</f>
        <v/>
      </c>
      <c r="W50" s="74" t="str" cm="1">
        <f t="array" ref="W50">IFERROR(_xlfn.XLOOKUP($I50,#REF!,_xlfn.XLOOKUP(W$10,#REF!,#REF!,"",0,1),""),"")</f>
        <v/>
      </c>
      <c r="X50" s="74" t="str" cm="1">
        <f t="array" ref="X50">IFERROR(_xlfn.XLOOKUP($I50,#REF!,_xlfn.XLOOKUP(X$10,#REF!,#REF!,"",0,1),""),"")</f>
        <v/>
      </c>
      <c r="Y50" s="74" t="str" cm="1">
        <f t="array" ref="Y50">IFERROR(_xlfn.XLOOKUP($I50,#REF!,_xlfn.XLOOKUP(Y$10,#REF!,#REF!,"",0,1),""),"")</f>
        <v/>
      </c>
      <c r="Z50" s="74" t="str" cm="1">
        <f t="array" ref="Z50">IFERROR(_xlfn.XLOOKUP($I50,#REF!,_xlfn.XLOOKUP(Z$10,#REF!,#REF!,"",0,1),""),"")</f>
        <v/>
      </c>
      <c r="AA50" s="74" t="str" cm="1">
        <f t="array" ref="AA50">IFERROR(_xlfn.XLOOKUP($I50,#REF!,_xlfn.XLOOKUP(AA$10,#REF!,#REF!,"",0,1),""),"")</f>
        <v/>
      </c>
      <c r="AB50" s="12" t="str" cm="1">
        <f t="array" ref="AB50">IFERROR(_xlfn.XLOOKUP($I50,#REF!,_xlfn.XLOOKUP(AB$10,#REF!,#REF!,"",0,1),""),"")</f>
        <v/>
      </c>
      <c r="AC50" s="52" t="str" cm="1">
        <f t="array" ref="AC50">IFERROR(_xlfn.XLOOKUP($I50,#REF!,_xlfn.XLOOKUP(AC$10,#REF!,#REF!,"",0,1),""),"")</f>
        <v/>
      </c>
      <c r="AD50" s="12" t="str" cm="1">
        <f t="array" ref="AD50">IFERROR(_xlfn.XLOOKUP($I50,#REF!,_xlfn.XLOOKUP(AD$10,#REF!,#REF!,"",0,1),""),"")</f>
        <v/>
      </c>
      <c r="AE50" s="12"/>
      <c r="AF50" s="12" t="str" cm="1">
        <f t="array" ref="AF50">IFERROR(_xlfn.XLOOKUP($I50,#REF!,_xlfn.XLOOKUP(AF$10,#REF!,#REF!,"",0,1),""),"")</f>
        <v/>
      </c>
      <c r="AG50" s="12" t="str" cm="1">
        <f t="array" ref="AG50">IFERROR(_xlfn.XLOOKUP($I50,#REF!,_xlfn.XLOOKUP(AG$10,#REF!,#REF!,"",0,1),""),"")</f>
        <v/>
      </c>
      <c r="AH50" s="12" t="str" cm="1">
        <f t="array" ref="AH50">IFERROR(_xlfn.XLOOKUP($I50,#REF!,_xlfn.XLOOKUP(AH$10,#REF!,#REF!,"",0,1),""),"")</f>
        <v/>
      </c>
      <c r="AI50" s="12" t="str" cm="1">
        <f t="array" ref="AI50">IFERROR(_xlfn.XLOOKUP($I50,#REF!,_xlfn.XLOOKUP(AI$10,#REF!,#REF!,"",0,1),""),"")</f>
        <v/>
      </c>
      <c r="AJ50" s="12"/>
      <c r="AK50" s="12"/>
      <c r="AL50" s="11" t="str" cm="1">
        <f t="array" ref="AL50">IFERROR(_xlfn.XLOOKUP($I50,#REF!,_xlfn.XLOOKUP(AL$10,#REF!,#REF!,"",0,1),""),"")</f>
        <v/>
      </c>
      <c r="AM50" s="11" t="str" cm="1">
        <f t="array" ref="AM50">IFERROR(_xlfn.XLOOKUP($I50,#REF!,_xlfn.XLOOKUP(AM$10,#REF!,#REF!,"",0,1),""),"")</f>
        <v/>
      </c>
      <c r="AN50" s="11" t="str" cm="1">
        <f t="array" ref="AN50">IFERROR(_xlfn.XLOOKUP($I50,#REF!,_xlfn.XLOOKUP(AN$10,#REF!,#REF!,"",0,1),""),"")</f>
        <v/>
      </c>
      <c r="AO50" s="11" t="str" cm="1">
        <f t="array" ref="AO50">IFERROR(_xlfn.XLOOKUP($I50,#REF!,_xlfn.XLOOKUP(AO$10,#REF!,#REF!,"",0,1),""),"")</f>
        <v/>
      </c>
      <c r="AP50" s="11" t="str" cm="1">
        <f t="array" ref="AP50">IFERROR(_xlfn.XLOOKUP($I50,#REF!,_xlfn.XLOOKUP(AP$10,#REF!,#REF!,"",0,1),""),"")</f>
        <v/>
      </c>
      <c r="AQ50" s="11" t="str" cm="1">
        <f t="array" ref="AQ50">IFERROR(_xlfn.XLOOKUP($I50,#REF!,_xlfn.XLOOKUP(AQ$10,#REF!,#REF!,"",0,1),""),"")</f>
        <v/>
      </c>
      <c r="AR50" s="12" t="str" cm="1">
        <f t="array" ref="AR50">IFERROR(_xlfn.XLOOKUP($I50,#REF!,_xlfn.XLOOKUP(AR$10,#REF!,#REF!,"",0,1),""),"")</f>
        <v/>
      </c>
      <c r="AS50" s="12" t="str" cm="1">
        <f t="array" ref="AS50">IFERROR(_xlfn.XLOOKUP($I50,#REF!,_xlfn.XLOOKUP(AS$10,#REF!,#REF!,"",0,1),""),"")</f>
        <v/>
      </c>
      <c r="AT50" s="12" t="str" cm="1">
        <f t="array" ref="AT50">IFERROR(_xlfn.XLOOKUP($I50,#REF!,_xlfn.XLOOKUP(AT$10,#REF!,#REF!,"",0,1),""),"")</f>
        <v/>
      </c>
      <c r="AU50" s="12" t="str" cm="1">
        <f t="array" ref="AU50">IFERROR(_xlfn.XLOOKUP($I50,#REF!,_xlfn.XLOOKUP(AU$10,#REF!,#REF!,"",0,1),""),"")</f>
        <v/>
      </c>
      <c r="AV50" s="12" t="str" cm="1">
        <f t="array" ref="AV50">IFERROR(_xlfn.XLOOKUP($I50,#REF!,_xlfn.XLOOKUP(AV$10,#REF!,#REF!,"",0,1),""),"")</f>
        <v/>
      </c>
      <c r="AW50" s="12" t="str">
        <f>IFERROR(_xlfn.XLOOKUP($I50,#REF!,#REF!,""),"")</f>
        <v/>
      </c>
      <c r="AX50" s="12" t="str">
        <f>IFERROR(_xlfn.XLOOKUP($I50,#REF!,#REF!,""),"")</f>
        <v/>
      </c>
      <c r="AY50" s="12" t="str">
        <f>IFERROR(_xlfn.XLOOKUP($I50,#REF!,#REF!,""),"")</f>
        <v/>
      </c>
      <c r="AZ50" s="11" t="str" cm="1">
        <f t="array" ref="AZ50">IFERROR(_xlfn.XLOOKUP($I50,#REF!,_xlfn.XLOOKUP(AZ$10,#REF!,#REF!,"",0,1),""),"")</f>
        <v/>
      </c>
      <c r="BA50" s="11" t="str" cm="1">
        <f t="array" ref="BA50">IFERROR(_xlfn.XLOOKUP($I50,#REF!,_xlfn.XLOOKUP(BA$10,#REF!,#REF!,"",0,1),""),"")</f>
        <v/>
      </c>
      <c r="BB50" s="11" t="str">
        <f>IFERROR(_xlfn.XLOOKUP($I50,#REF!,#REF!,""),"")</f>
        <v/>
      </c>
      <c r="BC50" s="11" t="str">
        <f>IFERROR(_xlfn.XLOOKUP($I50,#REF!,#REF!,""),"")</f>
        <v/>
      </c>
      <c r="BD50" s="12" t="str" cm="1">
        <f t="array" ref="BD50">IFERROR(_xlfn.XLOOKUP($I50,#REF!,_xlfn.XLOOKUP(BD$10,#REF!,#REF!,"",0,1),""),"")</f>
        <v/>
      </c>
      <c r="BE50" s="12" t="str" cm="1">
        <f t="array" ref="BE50">IFERROR(_xlfn.XLOOKUP($I50,#REF!,_xlfn.XLOOKUP(BE$10,#REF!,#REF!,"",0,1),""),"")</f>
        <v/>
      </c>
      <c r="BF50" s="12" t="str" cm="1">
        <f t="array" ref="BF50">IFERROR(_xlfn.XLOOKUP($I50,#REF!,_xlfn.XLOOKUP(BF$10,#REF!,#REF!,"",0,1),""),"")</f>
        <v/>
      </c>
      <c r="BG50" s="12" t="str" cm="1">
        <f t="array" ref="BG50">IFERROR(_xlfn.XLOOKUP($I50,#REF!,_xlfn.XLOOKUP(BG$10,#REF!,#REF!,"",0,1),""),"")</f>
        <v/>
      </c>
      <c r="BH50" s="12" t="str" cm="1">
        <f t="array" ref="BH50">IFERROR(_xlfn.XLOOKUP($I50,#REF!,_xlfn.XLOOKUP(BH$10,#REF!,#REF!,"",0,1),""),"")</f>
        <v/>
      </c>
      <c r="BI50" s="12" t="str" cm="1">
        <f t="array" ref="BI50">IFERROR(_xlfn.XLOOKUP($I50,#REF!,_xlfn.XLOOKUP(BI$10,#REF!,#REF!,"",0,1),""),"")</f>
        <v/>
      </c>
      <c r="BJ50" s="12" t="str" cm="1">
        <f t="array" ref="BJ50">IFERROR(_xlfn.XLOOKUP($I50,#REF!,_xlfn.XLOOKUP(BJ$10,#REF!,#REF!,"",0,1),""),"")</f>
        <v/>
      </c>
      <c r="BK50" s="12" t="str" cm="1">
        <f t="array" ref="BK50">IFERROR(_xlfn.XLOOKUP($I50,#REF!,_xlfn.XLOOKUP(BK$10,#REF!,#REF!,"",0,1),""),"")</f>
        <v/>
      </c>
      <c r="BL50" s="12" t="str" cm="1">
        <f t="array" ref="BL50">IFERROR(_xlfn.XLOOKUP($I50,#REF!,_xlfn.XLOOKUP(BL$10,#REF!,#REF!,"",0,1),""),"")</f>
        <v/>
      </c>
      <c r="BM50" s="12" t="str">
        <f>IFERROR(_xlfn.XLOOKUP($I50,#REF!,#REF!,""),"")</f>
        <v/>
      </c>
      <c r="BN50" s="12" t="str">
        <f>IFERROR(_xlfn.XLOOKUP($I50,#REF!,#REF!,""),"")</f>
        <v/>
      </c>
      <c r="BO50" s="12" t="str">
        <f>IFERROR(_xlfn.XLOOKUP($I50,#REF!,#REF!,""),"")</f>
        <v/>
      </c>
      <c r="BP50" s="12" t="str" cm="1">
        <f t="array" ref="BP50">IFERROR(_xlfn.XLOOKUP($I50,#REF!,_xlfn.XLOOKUP(BP$10,#REF!,#REF!,"",0,1),""),"")</f>
        <v/>
      </c>
      <c r="BQ50" s="12" t="str">
        <f>IFERROR(_xlfn.XLOOKUP($I50,#REF!,#REF!,""),"")</f>
        <v/>
      </c>
      <c r="BR50" s="12" t="str">
        <f>IFERROR(_xlfn.XLOOKUP($I50,#REF!,#REF!,""),"")</f>
        <v/>
      </c>
      <c r="BS50" s="12" t="str">
        <f>IFERROR(_xlfn.XLOOKUP($I50,#REF!,#REF!,""),"")</f>
        <v/>
      </c>
      <c r="BT50" s="11" t="str">
        <f>IFERROR(_xlfn.XLOOKUP($I50,#REF!,#REF!,""),"")</f>
        <v/>
      </c>
      <c r="BU50" s="11" t="str">
        <f>IFERROR(_xlfn.XLOOKUP($I50,#REF!,#REF!,""),"")</f>
        <v/>
      </c>
      <c r="BV50" s="32" t="str">
        <f>IFERROR(_xlfn.XLOOKUP($I50,#REF!,#REF!,""),"")</f>
        <v/>
      </c>
      <c r="BW50" s="12" t="str">
        <f>IFERROR(_xlfn.XLOOKUP($I50,#REF!,#REF!,""),"")</f>
        <v/>
      </c>
    </row>
    <row r="51" spans="3:75" ht="52.35" customHeight="1" x14ac:dyDescent="0.3">
      <c r="C51" s="22" t="str">
        <f>IFERROR(_xlfn.XLOOKUP($I51,#REF!,#REF!,""),"")</f>
        <v/>
      </c>
      <c r="D51" s="19" t="str">
        <f>IFERROR(_xlfn.XLOOKUP($I51,#REF!,#REF!,""),"")</f>
        <v/>
      </c>
      <c r="E51" s="23" t="str">
        <f>IFERROR(_xlfn.XLOOKUP($I51,#REF!,#REF!,""),"")</f>
        <v/>
      </c>
      <c r="F51" s="19" t="str">
        <f>IFERROR(_xlfn.XLOOKUP($I51,#REF!,#REF!,""),"")</f>
        <v/>
      </c>
      <c r="G51" s="19" t="str">
        <f>IFERROR(_xlfn.XLOOKUP($I51,#REF!,#REF!,""),"")</f>
        <v/>
      </c>
      <c r="H51" s="19" t="str">
        <f>IFERROR(_xlfn.XLOOKUP($I51,#REF!,#REF!,""),"")</f>
        <v/>
      </c>
      <c r="I51" s="77">
        <v>16017</v>
      </c>
      <c r="J51" s="12" t="str" cm="1">
        <f t="array" ref="J51">IFERROR(_xlfn.XLOOKUP($I51,#REF!,_xlfn.XLOOKUP(J$10,#REF!,#REF!,"",0,1),""),"")</f>
        <v/>
      </c>
      <c r="K51" s="12" t="str" cm="1">
        <f t="array" ref="K51">IFERROR(_xlfn.XLOOKUP($I51,#REF!,_xlfn.XLOOKUP(K$10,#REF!,#REF!,"",0,1),""),"")</f>
        <v/>
      </c>
      <c r="L51" s="12" t="str" cm="1">
        <f t="array" ref="L51">IFERROR(_xlfn.XLOOKUP($I51,#REF!,_xlfn.XLOOKUP(L$10,#REF!,#REF!,"",0,1),""),"")</f>
        <v/>
      </c>
      <c r="M51" s="36" t="str" cm="1">
        <f t="array" ref="M51">IFERROR(_xlfn.XLOOKUP($I51,#REF!,_xlfn.XLOOKUP(M$10,#REF!,#REF!,"",0,1),""),"")</f>
        <v/>
      </c>
      <c r="N51" s="37" t="str" cm="1">
        <f t="array" ref="N51">IFERROR(_xlfn.XLOOKUP($I51,#REF!,_xlfn.XLOOKUP(N$10,#REF!,#REF!,"",0,1),""),"")</f>
        <v/>
      </c>
      <c r="O51" s="12" t="str" cm="1">
        <f t="array" ref="O51">IFERROR(_xlfn.XLOOKUP($I51,#REF!,_xlfn.XLOOKUP(O$10,#REF!,#REF!,"",0,1),""),"")</f>
        <v/>
      </c>
      <c r="P51" s="12" t="str" cm="1">
        <f t="array" ref="P51">IFERROR(_xlfn.XLOOKUP($I51,#REF!,_xlfn.XLOOKUP(P$10,#REF!,#REF!,"",0,1),""),"")</f>
        <v/>
      </c>
      <c r="Q51" s="12" t="str" cm="1">
        <f t="array" ref="Q51">IFERROR(_xlfn.XLOOKUP($I51,#REF!,_xlfn.XLOOKUP(Q$10,#REF!,#REF!,"",0,1),""),"")</f>
        <v/>
      </c>
      <c r="R51" s="12" t="str" cm="1">
        <f t="array" ref="R51">IFERROR(_xlfn.XLOOKUP($I51,#REF!,_xlfn.XLOOKUP(R$10,#REF!,#REF!,"",0,1),""),"")</f>
        <v/>
      </c>
      <c r="S51" s="12" t="str">
        <f>IFERROR(_xlfn.XLOOKUP($I51,#REF!,#REF!,""),"")</f>
        <v/>
      </c>
      <c r="T51" s="12" t="str">
        <f>IFERROR(_xlfn.XLOOKUP($I51,#REF!,#REF!,""),"")</f>
        <v/>
      </c>
      <c r="U51" s="12" t="str">
        <f>IFERROR(_xlfn.XLOOKUP($I51,#REF!,#REF!,""),"")</f>
        <v/>
      </c>
      <c r="V51" s="12" t="str">
        <f>IFERROR(_xlfn.XLOOKUP($I51,#REF!,#REF!,""),"")</f>
        <v/>
      </c>
      <c r="W51" s="74" t="str" cm="1">
        <f t="array" ref="W51">IFERROR(_xlfn.XLOOKUP($I51,#REF!,_xlfn.XLOOKUP(W$10,#REF!,#REF!,"",0,1),""),"")</f>
        <v/>
      </c>
      <c r="X51" s="74" t="str" cm="1">
        <f t="array" ref="X51">IFERROR(_xlfn.XLOOKUP($I51,#REF!,_xlfn.XLOOKUP(X$10,#REF!,#REF!,"",0,1),""),"")</f>
        <v/>
      </c>
      <c r="Y51" s="74" t="str" cm="1">
        <f t="array" ref="Y51">IFERROR(_xlfn.XLOOKUP($I51,#REF!,_xlfn.XLOOKUP(Y$10,#REF!,#REF!,"",0,1),""),"")</f>
        <v/>
      </c>
      <c r="Z51" s="74" t="str" cm="1">
        <f t="array" ref="Z51">IFERROR(_xlfn.XLOOKUP($I51,#REF!,_xlfn.XLOOKUP(Z$10,#REF!,#REF!,"",0,1),""),"")</f>
        <v/>
      </c>
      <c r="AA51" s="74" t="str" cm="1">
        <f t="array" ref="AA51">IFERROR(_xlfn.XLOOKUP($I51,#REF!,_xlfn.XLOOKUP(AA$10,#REF!,#REF!,"",0,1),""),"")</f>
        <v/>
      </c>
      <c r="AB51" s="12" t="str" cm="1">
        <f t="array" ref="AB51">IFERROR(_xlfn.XLOOKUP($I51,#REF!,_xlfn.XLOOKUP(AB$10,#REF!,#REF!,"",0,1),""),"")</f>
        <v/>
      </c>
      <c r="AC51" s="52" t="str" cm="1">
        <f t="array" ref="AC51">IFERROR(_xlfn.XLOOKUP($I51,#REF!,_xlfn.XLOOKUP(AC$10,#REF!,#REF!,"",0,1),""),"")</f>
        <v/>
      </c>
      <c r="AD51" s="12" t="str" cm="1">
        <f t="array" ref="AD51">IFERROR(_xlfn.XLOOKUP($I51,#REF!,_xlfn.XLOOKUP(AD$10,#REF!,#REF!,"",0,1),""),"")</f>
        <v/>
      </c>
      <c r="AE51" s="12"/>
      <c r="AF51" s="12" t="str" cm="1">
        <f t="array" ref="AF51">IFERROR(_xlfn.XLOOKUP($I51,#REF!,_xlfn.XLOOKUP(AF$10,#REF!,#REF!,"",0,1),""),"")</f>
        <v/>
      </c>
      <c r="AG51" s="12" t="str" cm="1">
        <f t="array" ref="AG51">IFERROR(_xlfn.XLOOKUP($I51,#REF!,_xlfn.XLOOKUP(AG$10,#REF!,#REF!,"",0,1),""),"")</f>
        <v/>
      </c>
      <c r="AH51" s="12" t="str" cm="1">
        <f t="array" ref="AH51">IFERROR(_xlfn.XLOOKUP($I51,#REF!,_xlfn.XLOOKUP(AH$10,#REF!,#REF!,"",0,1),""),"")</f>
        <v/>
      </c>
      <c r="AI51" s="12" t="str" cm="1">
        <f t="array" ref="AI51">IFERROR(_xlfn.XLOOKUP($I51,#REF!,_xlfn.XLOOKUP(AI$10,#REF!,#REF!,"",0,1),""),"")</f>
        <v/>
      </c>
      <c r="AJ51" s="12"/>
      <c r="AK51" s="12"/>
      <c r="AL51" s="11" t="str" cm="1">
        <f t="array" ref="AL51">IFERROR(_xlfn.XLOOKUP($I51,#REF!,_xlfn.XLOOKUP(AL$10,#REF!,#REF!,"",0,1),""),"")</f>
        <v/>
      </c>
      <c r="AM51" s="11" t="str" cm="1">
        <f t="array" ref="AM51">IFERROR(_xlfn.XLOOKUP($I51,#REF!,_xlfn.XLOOKUP(AM$10,#REF!,#REF!,"",0,1),""),"")</f>
        <v/>
      </c>
      <c r="AN51" s="11" t="str" cm="1">
        <f t="array" ref="AN51">IFERROR(_xlfn.XLOOKUP($I51,#REF!,_xlfn.XLOOKUP(AN$10,#REF!,#REF!,"",0,1),""),"")</f>
        <v/>
      </c>
      <c r="AO51" s="11" t="str" cm="1">
        <f t="array" ref="AO51">IFERROR(_xlfn.XLOOKUP($I51,#REF!,_xlfn.XLOOKUP(AO$10,#REF!,#REF!,"",0,1),""),"")</f>
        <v/>
      </c>
      <c r="AP51" s="11" t="str" cm="1">
        <f t="array" ref="AP51">IFERROR(_xlfn.XLOOKUP($I51,#REF!,_xlfn.XLOOKUP(AP$10,#REF!,#REF!,"",0,1),""),"")</f>
        <v/>
      </c>
      <c r="AQ51" s="11" t="str" cm="1">
        <f t="array" ref="AQ51">IFERROR(_xlfn.XLOOKUP($I51,#REF!,_xlfn.XLOOKUP(AQ$10,#REF!,#REF!,"",0,1),""),"")</f>
        <v/>
      </c>
      <c r="AR51" s="12" t="str" cm="1">
        <f t="array" ref="AR51">IFERROR(_xlfn.XLOOKUP($I51,#REF!,_xlfn.XLOOKUP(AR$10,#REF!,#REF!,"",0,1),""),"")</f>
        <v/>
      </c>
      <c r="AS51" s="12" t="str" cm="1">
        <f t="array" ref="AS51">IFERROR(_xlfn.XLOOKUP($I51,#REF!,_xlfn.XLOOKUP(AS$10,#REF!,#REF!,"",0,1),""),"")</f>
        <v/>
      </c>
      <c r="AT51" s="12" t="str" cm="1">
        <f t="array" ref="AT51">IFERROR(_xlfn.XLOOKUP($I51,#REF!,_xlfn.XLOOKUP(AT$10,#REF!,#REF!,"",0,1),""),"")</f>
        <v/>
      </c>
      <c r="AU51" s="12" t="str" cm="1">
        <f t="array" ref="AU51">IFERROR(_xlfn.XLOOKUP($I51,#REF!,_xlfn.XLOOKUP(AU$10,#REF!,#REF!,"",0,1),""),"")</f>
        <v/>
      </c>
      <c r="AV51" s="12" t="str" cm="1">
        <f t="array" ref="AV51">IFERROR(_xlfn.XLOOKUP($I51,#REF!,_xlfn.XLOOKUP(AV$10,#REF!,#REF!,"",0,1),""),"")</f>
        <v/>
      </c>
      <c r="AW51" s="12" t="str">
        <f>IFERROR(_xlfn.XLOOKUP($I51,#REF!,#REF!,""),"")</f>
        <v/>
      </c>
      <c r="AX51" s="12" t="str">
        <f>IFERROR(_xlfn.XLOOKUP($I51,#REF!,#REF!,""),"")</f>
        <v/>
      </c>
      <c r="AY51" s="12" t="str">
        <f>IFERROR(_xlfn.XLOOKUP($I51,#REF!,#REF!,""),"")</f>
        <v/>
      </c>
      <c r="AZ51" s="11" t="str" cm="1">
        <f t="array" ref="AZ51">IFERROR(_xlfn.XLOOKUP($I51,#REF!,_xlfn.XLOOKUP(AZ$10,#REF!,#REF!,"",0,1),""),"")</f>
        <v/>
      </c>
      <c r="BA51" s="11" t="str" cm="1">
        <f t="array" ref="BA51">IFERROR(_xlfn.XLOOKUP($I51,#REF!,_xlfn.XLOOKUP(BA$10,#REF!,#REF!,"",0,1),""),"")</f>
        <v/>
      </c>
      <c r="BB51" s="11" t="str">
        <f>IFERROR(_xlfn.XLOOKUP($I51,#REF!,#REF!,""),"")</f>
        <v/>
      </c>
      <c r="BC51" s="11" t="str">
        <f>IFERROR(_xlfn.XLOOKUP($I51,#REF!,#REF!,""),"")</f>
        <v/>
      </c>
      <c r="BD51" s="12" t="str" cm="1">
        <f t="array" ref="BD51">IFERROR(_xlfn.XLOOKUP($I51,#REF!,_xlfn.XLOOKUP(BD$10,#REF!,#REF!,"",0,1),""),"")</f>
        <v/>
      </c>
      <c r="BE51" s="12" t="str" cm="1">
        <f t="array" ref="BE51">IFERROR(_xlfn.XLOOKUP($I51,#REF!,_xlfn.XLOOKUP(BE$10,#REF!,#REF!,"",0,1),""),"")</f>
        <v/>
      </c>
      <c r="BF51" s="12" t="str" cm="1">
        <f t="array" ref="BF51">IFERROR(_xlfn.XLOOKUP($I51,#REF!,_xlfn.XLOOKUP(BF$10,#REF!,#REF!,"",0,1),""),"")</f>
        <v/>
      </c>
      <c r="BG51" s="12" t="str" cm="1">
        <f t="array" ref="BG51">IFERROR(_xlfn.XLOOKUP($I51,#REF!,_xlfn.XLOOKUP(BG$10,#REF!,#REF!,"",0,1),""),"")</f>
        <v/>
      </c>
      <c r="BH51" s="12" t="str" cm="1">
        <f t="array" ref="BH51">IFERROR(_xlfn.XLOOKUP($I51,#REF!,_xlfn.XLOOKUP(BH$10,#REF!,#REF!,"",0,1),""),"")</f>
        <v/>
      </c>
      <c r="BI51" s="12" t="str" cm="1">
        <f t="array" ref="BI51">IFERROR(_xlfn.XLOOKUP($I51,#REF!,_xlfn.XLOOKUP(BI$10,#REF!,#REF!,"",0,1),""),"")</f>
        <v/>
      </c>
      <c r="BJ51" s="12" t="str" cm="1">
        <f t="array" ref="BJ51">IFERROR(_xlfn.XLOOKUP($I51,#REF!,_xlfn.XLOOKUP(BJ$10,#REF!,#REF!,"",0,1),""),"")</f>
        <v/>
      </c>
      <c r="BK51" s="12" t="str" cm="1">
        <f t="array" ref="BK51">IFERROR(_xlfn.XLOOKUP($I51,#REF!,_xlfn.XLOOKUP(BK$10,#REF!,#REF!,"",0,1),""),"")</f>
        <v/>
      </c>
      <c r="BL51" s="12" t="str" cm="1">
        <f t="array" ref="BL51">IFERROR(_xlfn.XLOOKUP($I51,#REF!,_xlfn.XLOOKUP(BL$10,#REF!,#REF!,"",0,1),""),"")</f>
        <v/>
      </c>
      <c r="BM51" s="12" t="str">
        <f>IFERROR(_xlfn.XLOOKUP($I51,#REF!,#REF!,""),"")</f>
        <v/>
      </c>
      <c r="BN51" s="12" t="str">
        <f>IFERROR(_xlfn.XLOOKUP($I51,#REF!,#REF!,""),"")</f>
        <v/>
      </c>
      <c r="BO51" s="12" t="str">
        <f>IFERROR(_xlfn.XLOOKUP($I51,#REF!,#REF!,""),"")</f>
        <v/>
      </c>
      <c r="BP51" s="12" t="str" cm="1">
        <f t="array" ref="BP51">IFERROR(_xlfn.XLOOKUP($I51,#REF!,_xlfn.XLOOKUP(BP$10,#REF!,#REF!,"",0,1),""),"")</f>
        <v/>
      </c>
      <c r="BQ51" s="12" t="str">
        <f>IFERROR(_xlfn.XLOOKUP($I51,#REF!,#REF!,""),"")</f>
        <v/>
      </c>
      <c r="BR51" s="12" t="str">
        <f>IFERROR(_xlfn.XLOOKUP($I51,#REF!,#REF!,""),"")</f>
        <v/>
      </c>
      <c r="BS51" s="12" t="str">
        <f>IFERROR(_xlfn.XLOOKUP($I51,#REF!,#REF!,""),"")</f>
        <v/>
      </c>
      <c r="BT51" s="11" t="str">
        <f>IFERROR(_xlfn.XLOOKUP($I51,#REF!,#REF!,""),"")</f>
        <v/>
      </c>
      <c r="BU51" s="11" t="str">
        <f>IFERROR(_xlfn.XLOOKUP($I51,#REF!,#REF!,""),"")</f>
        <v/>
      </c>
      <c r="BV51" s="32" t="str">
        <f>IFERROR(_xlfn.XLOOKUP($I51,#REF!,#REF!,""),"")</f>
        <v/>
      </c>
      <c r="BW51" s="12" t="str">
        <f>IFERROR(_xlfn.XLOOKUP($I51,#REF!,#REF!,""),"")</f>
        <v/>
      </c>
    </row>
    <row r="52" spans="3:75" ht="69.599999999999994" customHeight="1" x14ac:dyDescent="0.3">
      <c r="C52" s="22" t="str">
        <f>IFERROR(_xlfn.XLOOKUP($I52,#REF!,#REF!,""),"")</f>
        <v/>
      </c>
      <c r="D52" s="19" t="str">
        <f>IFERROR(_xlfn.XLOOKUP($I52,#REF!,#REF!,""),"")</f>
        <v/>
      </c>
      <c r="E52" s="23" t="str">
        <f>IFERROR(_xlfn.XLOOKUP($I52,#REF!,#REF!,""),"")</f>
        <v/>
      </c>
      <c r="F52" s="19" t="str">
        <f>IFERROR(_xlfn.XLOOKUP($I52,#REF!,#REF!,""),"")</f>
        <v/>
      </c>
      <c r="G52" s="19" t="str">
        <f>IFERROR(_xlfn.XLOOKUP($I52,#REF!,#REF!,""),"")</f>
        <v/>
      </c>
      <c r="H52" s="19" t="str">
        <f>IFERROR(_xlfn.XLOOKUP($I52,#REF!,#REF!,""),"")</f>
        <v/>
      </c>
      <c r="I52" s="77">
        <v>103752</v>
      </c>
      <c r="J52" s="12" t="str" cm="1">
        <f t="array" ref="J52">IFERROR(_xlfn.XLOOKUP($I52,#REF!,_xlfn.XLOOKUP(J$10,#REF!,#REF!,"",0,1),""),"")</f>
        <v/>
      </c>
      <c r="K52" s="12" t="str" cm="1">
        <f t="array" ref="K52">IFERROR(_xlfn.XLOOKUP($I52,#REF!,_xlfn.XLOOKUP(K$10,#REF!,#REF!,"",0,1),""),"")</f>
        <v/>
      </c>
      <c r="L52" s="12" t="str" cm="1">
        <f t="array" ref="L52">IFERROR(_xlfn.XLOOKUP($I52,#REF!,_xlfn.XLOOKUP(L$10,#REF!,#REF!,"",0,1),""),"")</f>
        <v/>
      </c>
      <c r="M52" s="36" t="str" cm="1">
        <f t="array" ref="M52">IFERROR(_xlfn.XLOOKUP($I52,#REF!,_xlfn.XLOOKUP(M$10,#REF!,#REF!,"",0,1),""),"")</f>
        <v/>
      </c>
      <c r="N52" s="37" t="str" cm="1">
        <f t="array" ref="N52">IFERROR(_xlfn.XLOOKUP($I52,#REF!,_xlfn.XLOOKUP(N$10,#REF!,#REF!,"",0,1),""),"")</f>
        <v/>
      </c>
      <c r="O52" s="12" t="str" cm="1">
        <f t="array" ref="O52">IFERROR(_xlfn.XLOOKUP($I52,#REF!,_xlfn.XLOOKUP(O$10,#REF!,#REF!,"",0,1),""),"")</f>
        <v/>
      </c>
      <c r="P52" s="12" t="str" cm="1">
        <f t="array" ref="P52">IFERROR(_xlfn.XLOOKUP($I52,#REF!,_xlfn.XLOOKUP(P$10,#REF!,#REF!,"",0,1),""),"")</f>
        <v/>
      </c>
      <c r="Q52" s="12" t="str" cm="1">
        <f t="array" ref="Q52">IFERROR(_xlfn.XLOOKUP($I52,#REF!,_xlfn.XLOOKUP(Q$10,#REF!,#REF!,"",0,1),""),"")</f>
        <v/>
      </c>
      <c r="R52" s="12" t="str" cm="1">
        <f t="array" ref="R52">IFERROR(_xlfn.XLOOKUP($I52,#REF!,_xlfn.XLOOKUP(R$10,#REF!,#REF!,"",0,1),""),"")</f>
        <v/>
      </c>
      <c r="S52" s="12" t="str">
        <f>IFERROR(_xlfn.XLOOKUP($I52,#REF!,#REF!,""),"")</f>
        <v/>
      </c>
      <c r="T52" s="12" t="str">
        <f>IFERROR(_xlfn.XLOOKUP($I52,#REF!,#REF!,""),"")</f>
        <v/>
      </c>
      <c r="U52" s="12" t="str">
        <f>IFERROR(_xlfn.XLOOKUP($I52,#REF!,#REF!,""),"")</f>
        <v/>
      </c>
      <c r="V52" s="12" t="str">
        <f>IFERROR(_xlfn.XLOOKUP($I52,#REF!,#REF!,""),"")</f>
        <v/>
      </c>
      <c r="W52" s="74" t="str" cm="1">
        <f t="array" ref="W52">IFERROR(_xlfn.XLOOKUP($I52,#REF!,_xlfn.XLOOKUP(W$10,#REF!,#REF!,"",0,1),""),"")</f>
        <v/>
      </c>
      <c r="X52" s="74" t="str" cm="1">
        <f t="array" ref="X52">IFERROR(_xlfn.XLOOKUP($I52,#REF!,_xlfn.XLOOKUP(X$10,#REF!,#REF!,"",0,1),""),"")</f>
        <v/>
      </c>
      <c r="Y52" s="74" t="str" cm="1">
        <f t="array" ref="Y52">IFERROR(_xlfn.XLOOKUP($I52,#REF!,_xlfn.XLOOKUP(Y$10,#REF!,#REF!,"",0,1),""),"")</f>
        <v/>
      </c>
      <c r="Z52" s="74" t="str" cm="1">
        <f t="array" ref="Z52">IFERROR(_xlfn.XLOOKUP($I52,#REF!,_xlfn.XLOOKUP(Z$10,#REF!,#REF!,"",0,1),""),"")</f>
        <v/>
      </c>
      <c r="AA52" s="74" t="str" cm="1">
        <f t="array" ref="AA52">IFERROR(_xlfn.XLOOKUP($I52,#REF!,_xlfn.XLOOKUP(AA$10,#REF!,#REF!,"",0,1),""),"")</f>
        <v/>
      </c>
      <c r="AB52" s="12" t="str" cm="1">
        <f t="array" ref="AB52">IFERROR(_xlfn.XLOOKUP($I52,#REF!,_xlfn.XLOOKUP(AB$10,#REF!,#REF!,"",0,1),""),"")</f>
        <v/>
      </c>
      <c r="AC52" s="52" t="str" cm="1">
        <f t="array" ref="AC52">IFERROR(_xlfn.XLOOKUP($I52,#REF!,_xlfn.XLOOKUP(AC$10,#REF!,#REF!,"",0,1),""),"")</f>
        <v/>
      </c>
      <c r="AD52" s="12" t="str" cm="1">
        <f t="array" ref="AD52">IFERROR(_xlfn.XLOOKUP($I52,#REF!,_xlfn.XLOOKUP(AD$10,#REF!,#REF!,"",0,1),""),"")</f>
        <v/>
      </c>
      <c r="AE52" s="12"/>
      <c r="AF52" s="12" t="str" cm="1">
        <f t="array" ref="AF52">IFERROR(_xlfn.XLOOKUP($I52,#REF!,_xlfn.XLOOKUP(AF$10,#REF!,#REF!,"",0,1),""),"")</f>
        <v/>
      </c>
      <c r="AG52" s="12" t="str" cm="1">
        <f t="array" ref="AG52">IFERROR(_xlfn.XLOOKUP($I52,#REF!,_xlfn.XLOOKUP(AG$10,#REF!,#REF!,"",0,1),""),"")</f>
        <v/>
      </c>
      <c r="AH52" s="12" t="str" cm="1">
        <f t="array" ref="AH52">IFERROR(_xlfn.XLOOKUP($I52,#REF!,_xlfn.XLOOKUP(AH$10,#REF!,#REF!,"",0,1),""),"")</f>
        <v/>
      </c>
      <c r="AI52" s="12" t="str" cm="1">
        <f t="array" ref="AI52">IFERROR(_xlfn.XLOOKUP($I52,#REF!,_xlfn.XLOOKUP(AI$10,#REF!,#REF!,"",0,1),""),"")</f>
        <v/>
      </c>
      <c r="AJ52" s="12"/>
      <c r="AK52" s="12"/>
      <c r="AL52" s="11" t="str" cm="1">
        <f t="array" ref="AL52">IFERROR(_xlfn.XLOOKUP($I52,#REF!,_xlfn.XLOOKUP(AL$10,#REF!,#REF!,"",0,1),""),"")</f>
        <v/>
      </c>
      <c r="AM52" s="11" t="str" cm="1">
        <f t="array" ref="AM52">IFERROR(_xlfn.XLOOKUP($I52,#REF!,_xlfn.XLOOKUP(AM$10,#REF!,#REF!,"",0,1),""),"")</f>
        <v/>
      </c>
      <c r="AN52" s="11" t="str" cm="1">
        <f t="array" ref="AN52">IFERROR(_xlfn.XLOOKUP($I52,#REF!,_xlfn.XLOOKUP(AN$10,#REF!,#REF!,"",0,1),""),"")</f>
        <v/>
      </c>
      <c r="AO52" s="11" t="str" cm="1">
        <f t="array" ref="AO52">IFERROR(_xlfn.XLOOKUP($I52,#REF!,_xlfn.XLOOKUP(AO$10,#REF!,#REF!,"",0,1),""),"")</f>
        <v/>
      </c>
      <c r="AP52" s="11" t="str" cm="1">
        <f t="array" ref="AP52">IFERROR(_xlfn.XLOOKUP($I52,#REF!,_xlfn.XLOOKUP(AP$10,#REF!,#REF!,"",0,1),""),"")</f>
        <v/>
      </c>
      <c r="AQ52" s="11" t="str" cm="1">
        <f t="array" ref="AQ52">IFERROR(_xlfn.XLOOKUP($I52,#REF!,_xlfn.XLOOKUP(AQ$10,#REF!,#REF!,"",0,1),""),"")</f>
        <v/>
      </c>
      <c r="AR52" s="12" t="str" cm="1">
        <f t="array" ref="AR52">IFERROR(_xlfn.XLOOKUP($I52,#REF!,_xlfn.XLOOKUP(AR$10,#REF!,#REF!,"",0,1),""),"")</f>
        <v/>
      </c>
      <c r="AS52" s="12" t="str" cm="1">
        <f t="array" ref="AS52">IFERROR(_xlfn.XLOOKUP($I52,#REF!,_xlfn.XLOOKUP(AS$10,#REF!,#REF!,"",0,1),""),"")</f>
        <v/>
      </c>
      <c r="AT52" s="12" t="str" cm="1">
        <f t="array" ref="AT52">IFERROR(_xlfn.XLOOKUP($I52,#REF!,_xlfn.XLOOKUP(AT$10,#REF!,#REF!,"",0,1),""),"")</f>
        <v/>
      </c>
      <c r="AU52" s="12" t="str" cm="1">
        <f t="array" ref="AU52">IFERROR(_xlfn.XLOOKUP($I52,#REF!,_xlfn.XLOOKUP(AU$10,#REF!,#REF!,"",0,1),""),"")</f>
        <v/>
      </c>
      <c r="AV52" s="12" t="str" cm="1">
        <f t="array" ref="AV52">IFERROR(_xlfn.XLOOKUP($I52,#REF!,_xlfn.XLOOKUP(AV$10,#REF!,#REF!,"",0,1),""),"")</f>
        <v/>
      </c>
      <c r="AW52" s="12" t="str">
        <f>IFERROR(_xlfn.XLOOKUP($I52,#REF!,#REF!,""),"")</f>
        <v/>
      </c>
      <c r="AX52" s="12" t="str">
        <f>IFERROR(_xlfn.XLOOKUP($I52,#REF!,#REF!,""),"")</f>
        <v/>
      </c>
      <c r="AY52" s="12" t="str">
        <f>IFERROR(_xlfn.XLOOKUP($I52,#REF!,#REF!,""),"")</f>
        <v/>
      </c>
      <c r="AZ52" s="11" t="str" cm="1">
        <f t="array" ref="AZ52">IFERROR(_xlfn.XLOOKUP($I52,#REF!,_xlfn.XLOOKUP(AZ$10,#REF!,#REF!,"",0,1),""),"")</f>
        <v/>
      </c>
      <c r="BA52" s="11" t="str" cm="1">
        <f t="array" ref="BA52">IFERROR(_xlfn.XLOOKUP($I52,#REF!,_xlfn.XLOOKUP(BA$10,#REF!,#REF!,"",0,1),""),"")</f>
        <v/>
      </c>
      <c r="BB52" s="11" t="str">
        <f>IFERROR(_xlfn.XLOOKUP($I52,#REF!,#REF!,""),"")</f>
        <v/>
      </c>
      <c r="BC52" s="11" t="str">
        <f>IFERROR(_xlfn.XLOOKUP($I52,#REF!,#REF!,""),"")</f>
        <v/>
      </c>
      <c r="BD52" s="12" t="str" cm="1">
        <f t="array" ref="BD52">IFERROR(_xlfn.XLOOKUP($I52,#REF!,_xlfn.XLOOKUP(BD$10,#REF!,#REF!,"",0,1),""),"")</f>
        <v/>
      </c>
      <c r="BE52" s="12" t="str" cm="1">
        <f t="array" ref="BE52">IFERROR(_xlfn.XLOOKUP($I52,#REF!,_xlfn.XLOOKUP(BE$10,#REF!,#REF!,"",0,1),""),"")</f>
        <v/>
      </c>
      <c r="BF52" s="12" t="str" cm="1">
        <f t="array" ref="BF52">IFERROR(_xlfn.XLOOKUP($I52,#REF!,_xlfn.XLOOKUP(BF$10,#REF!,#REF!,"",0,1),""),"")</f>
        <v/>
      </c>
      <c r="BG52" s="12" t="str" cm="1">
        <f t="array" ref="BG52">IFERROR(_xlfn.XLOOKUP($I52,#REF!,_xlfn.XLOOKUP(BG$10,#REF!,#REF!,"",0,1),""),"")</f>
        <v/>
      </c>
      <c r="BH52" s="12" t="str" cm="1">
        <f t="array" ref="BH52">IFERROR(_xlfn.XLOOKUP($I52,#REF!,_xlfn.XLOOKUP(BH$10,#REF!,#REF!,"",0,1),""),"")</f>
        <v/>
      </c>
      <c r="BI52" s="12" t="str" cm="1">
        <f t="array" ref="BI52">IFERROR(_xlfn.XLOOKUP($I52,#REF!,_xlfn.XLOOKUP(BI$10,#REF!,#REF!,"",0,1),""),"")</f>
        <v/>
      </c>
      <c r="BJ52" s="12" t="str" cm="1">
        <f t="array" ref="BJ52">IFERROR(_xlfn.XLOOKUP($I52,#REF!,_xlfn.XLOOKUP(BJ$10,#REF!,#REF!,"",0,1),""),"")</f>
        <v/>
      </c>
      <c r="BK52" s="12" t="str" cm="1">
        <f t="array" ref="BK52">IFERROR(_xlfn.XLOOKUP($I52,#REF!,_xlfn.XLOOKUP(BK$10,#REF!,#REF!,"",0,1),""),"")</f>
        <v/>
      </c>
      <c r="BL52" s="12" t="str" cm="1">
        <f t="array" ref="BL52">IFERROR(_xlfn.XLOOKUP($I52,#REF!,_xlfn.XLOOKUP(BL$10,#REF!,#REF!,"",0,1),""),"")</f>
        <v/>
      </c>
      <c r="BM52" s="12" t="str">
        <f>IFERROR(_xlfn.XLOOKUP($I52,#REF!,#REF!,""),"")</f>
        <v/>
      </c>
      <c r="BN52" s="12" t="str">
        <f>IFERROR(_xlfn.XLOOKUP($I52,#REF!,#REF!,""),"")</f>
        <v/>
      </c>
      <c r="BO52" s="12" t="str">
        <f>IFERROR(_xlfn.XLOOKUP($I52,#REF!,#REF!,""),"")</f>
        <v/>
      </c>
      <c r="BP52" s="12" t="str" cm="1">
        <f t="array" ref="BP52">IFERROR(_xlfn.XLOOKUP($I52,#REF!,_xlfn.XLOOKUP(BP$10,#REF!,#REF!,"",0,1),""),"")</f>
        <v/>
      </c>
      <c r="BQ52" s="12" t="str">
        <f>IFERROR(_xlfn.XLOOKUP($I52,#REF!,#REF!,""),"")</f>
        <v/>
      </c>
      <c r="BR52" s="12" t="str">
        <f>IFERROR(_xlfn.XLOOKUP($I52,#REF!,#REF!,""),"")</f>
        <v/>
      </c>
      <c r="BS52" s="12" t="str">
        <f>IFERROR(_xlfn.XLOOKUP($I52,#REF!,#REF!,""),"")</f>
        <v/>
      </c>
      <c r="BT52" s="11" t="str">
        <f>IFERROR(_xlfn.XLOOKUP($I52,#REF!,#REF!,""),"")</f>
        <v/>
      </c>
      <c r="BU52" s="11" t="str">
        <f>IFERROR(_xlfn.XLOOKUP($I52,#REF!,#REF!,""),"")</f>
        <v/>
      </c>
      <c r="BV52" s="32" t="str">
        <f>IFERROR(_xlfn.XLOOKUP($I52,#REF!,#REF!,""),"")</f>
        <v/>
      </c>
      <c r="BW52" s="12" t="str">
        <f>IFERROR(_xlfn.XLOOKUP($I52,#REF!,#REF!,""),"")</f>
        <v/>
      </c>
    </row>
    <row r="53" spans="3:75" ht="69.599999999999994" customHeight="1" x14ac:dyDescent="0.3">
      <c r="C53" s="22" t="str">
        <f>IFERROR(_xlfn.XLOOKUP($I53,#REF!,#REF!,""),"")</f>
        <v/>
      </c>
      <c r="D53" s="19" t="str">
        <f>IFERROR(_xlfn.XLOOKUP($I53,#REF!,#REF!,""),"")</f>
        <v/>
      </c>
      <c r="E53" s="23" t="str">
        <f>IFERROR(_xlfn.XLOOKUP($I53,#REF!,#REF!,""),"")</f>
        <v/>
      </c>
      <c r="F53" s="19" t="str">
        <f>IFERROR(_xlfn.XLOOKUP($I53,#REF!,#REF!,""),"")</f>
        <v/>
      </c>
      <c r="G53" s="19" t="str">
        <f>IFERROR(_xlfn.XLOOKUP($I53,#REF!,#REF!,""),"")</f>
        <v/>
      </c>
      <c r="H53" s="19" t="str">
        <f>IFERROR(_xlfn.XLOOKUP($I53,#REF!,#REF!,""),"")</f>
        <v/>
      </c>
      <c r="I53" s="77">
        <v>110286</v>
      </c>
      <c r="J53" s="12" t="str" cm="1">
        <f t="array" ref="J53">IFERROR(_xlfn.XLOOKUP($I53,#REF!,_xlfn.XLOOKUP(J$10,#REF!,#REF!,"",0,1),""),"")</f>
        <v/>
      </c>
      <c r="K53" s="12" t="str" cm="1">
        <f t="array" ref="K53">IFERROR(_xlfn.XLOOKUP($I53,#REF!,_xlfn.XLOOKUP(K$10,#REF!,#REF!,"",0,1),""),"")</f>
        <v/>
      </c>
      <c r="L53" s="12" t="str" cm="1">
        <f t="array" ref="L53">IFERROR(_xlfn.XLOOKUP($I53,#REF!,_xlfn.XLOOKUP(L$10,#REF!,#REF!,"",0,1),""),"")</f>
        <v/>
      </c>
      <c r="M53" s="36" t="str" cm="1">
        <f t="array" ref="M53">IFERROR(_xlfn.XLOOKUP($I53,#REF!,_xlfn.XLOOKUP(M$10,#REF!,#REF!,"",0,1),""),"")</f>
        <v/>
      </c>
      <c r="N53" s="37" t="str" cm="1">
        <f t="array" ref="N53">IFERROR(_xlfn.XLOOKUP($I53,#REF!,_xlfn.XLOOKUP(N$10,#REF!,#REF!,"",0,1),""),"")</f>
        <v/>
      </c>
      <c r="O53" s="12" t="str" cm="1">
        <f t="array" ref="O53">IFERROR(_xlfn.XLOOKUP($I53,#REF!,_xlfn.XLOOKUP(O$10,#REF!,#REF!,"",0,1),""),"")</f>
        <v/>
      </c>
      <c r="P53" s="12" t="str" cm="1">
        <f t="array" ref="P53">IFERROR(_xlfn.XLOOKUP($I53,#REF!,_xlfn.XLOOKUP(P$10,#REF!,#REF!,"",0,1),""),"")</f>
        <v/>
      </c>
      <c r="Q53" s="12" t="str" cm="1">
        <f t="array" ref="Q53">IFERROR(_xlfn.XLOOKUP($I53,#REF!,_xlfn.XLOOKUP(Q$10,#REF!,#REF!,"",0,1),""),"")</f>
        <v/>
      </c>
      <c r="R53" s="12" t="str" cm="1">
        <f t="array" ref="R53">IFERROR(_xlfn.XLOOKUP($I53,#REF!,_xlfn.XLOOKUP(R$10,#REF!,#REF!,"",0,1),""),"")</f>
        <v/>
      </c>
      <c r="S53" s="12" t="str">
        <f>IFERROR(_xlfn.XLOOKUP($I53,#REF!,#REF!,""),"")</f>
        <v/>
      </c>
      <c r="T53" s="12" t="str">
        <f>IFERROR(_xlfn.XLOOKUP($I53,#REF!,#REF!,""),"")</f>
        <v/>
      </c>
      <c r="U53" s="12" t="str">
        <f>IFERROR(_xlfn.XLOOKUP($I53,#REF!,#REF!,""),"")</f>
        <v/>
      </c>
      <c r="V53" s="12" t="str">
        <f>IFERROR(_xlfn.XLOOKUP($I53,#REF!,#REF!,""),"")</f>
        <v/>
      </c>
      <c r="W53" s="74" t="str" cm="1">
        <f t="array" ref="W53">IFERROR(_xlfn.XLOOKUP($I53,#REF!,_xlfn.XLOOKUP(W$10,#REF!,#REF!,"",0,1),""),"")</f>
        <v/>
      </c>
      <c r="X53" s="74" t="str" cm="1">
        <f t="array" ref="X53">IFERROR(_xlfn.XLOOKUP($I53,#REF!,_xlfn.XLOOKUP(X$10,#REF!,#REF!,"",0,1),""),"")</f>
        <v/>
      </c>
      <c r="Y53" s="74" t="str" cm="1">
        <f t="array" ref="Y53">IFERROR(_xlfn.XLOOKUP($I53,#REF!,_xlfn.XLOOKUP(Y$10,#REF!,#REF!,"",0,1),""),"")</f>
        <v/>
      </c>
      <c r="Z53" s="74" t="str" cm="1">
        <f t="array" ref="Z53">IFERROR(_xlfn.XLOOKUP($I53,#REF!,_xlfn.XLOOKUP(Z$10,#REF!,#REF!,"",0,1),""),"")</f>
        <v/>
      </c>
      <c r="AA53" s="74" t="str" cm="1">
        <f t="array" ref="AA53">IFERROR(_xlfn.XLOOKUP($I53,#REF!,_xlfn.XLOOKUP(AA$10,#REF!,#REF!,"",0,1),""),"")</f>
        <v/>
      </c>
      <c r="AB53" s="12" t="str" cm="1">
        <f t="array" ref="AB53">IFERROR(_xlfn.XLOOKUP($I53,#REF!,_xlfn.XLOOKUP(AB$10,#REF!,#REF!,"",0,1),""),"")</f>
        <v/>
      </c>
      <c r="AC53" s="52" t="str" cm="1">
        <f t="array" ref="AC53">IFERROR(_xlfn.XLOOKUP($I53,#REF!,_xlfn.XLOOKUP(AC$10,#REF!,#REF!,"",0,1),""),"")</f>
        <v/>
      </c>
      <c r="AD53" s="12" t="str" cm="1">
        <f t="array" ref="AD53">IFERROR(_xlfn.XLOOKUP($I53,#REF!,_xlfn.XLOOKUP(AD$10,#REF!,#REF!,"",0,1),""),"")</f>
        <v/>
      </c>
      <c r="AE53" s="12"/>
      <c r="AF53" s="12" t="str" cm="1">
        <f t="array" ref="AF53">IFERROR(_xlfn.XLOOKUP($I53,#REF!,_xlfn.XLOOKUP(AF$10,#REF!,#REF!,"",0,1),""),"")</f>
        <v/>
      </c>
      <c r="AG53" s="12" t="str" cm="1">
        <f t="array" ref="AG53">IFERROR(_xlfn.XLOOKUP($I53,#REF!,_xlfn.XLOOKUP(AG$10,#REF!,#REF!,"",0,1),""),"")</f>
        <v/>
      </c>
      <c r="AH53" s="12" t="str" cm="1">
        <f t="array" ref="AH53">IFERROR(_xlfn.XLOOKUP($I53,#REF!,_xlfn.XLOOKUP(AH$10,#REF!,#REF!,"",0,1),""),"")</f>
        <v/>
      </c>
      <c r="AI53" s="12" t="str" cm="1">
        <f t="array" ref="AI53">IFERROR(_xlfn.XLOOKUP($I53,#REF!,_xlfn.XLOOKUP(AI$10,#REF!,#REF!,"",0,1),""),"")</f>
        <v/>
      </c>
      <c r="AJ53" s="12"/>
      <c r="AK53" s="12"/>
      <c r="AL53" s="11" t="str" cm="1">
        <f t="array" ref="AL53">IFERROR(_xlfn.XLOOKUP($I53,#REF!,_xlfn.XLOOKUP(AL$10,#REF!,#REF!,"",0,1),""),"")</f>
        <v/>
      </c>
      <c r="AM53" s="11" t="str" cm="1">
        <f t="array" ref="AM53">IFERROR(_xlfn.XLOOKUP($I53,#REF!,_xlfn.XLOOKUP(AM$10,#REF!,#REF!,"",0,1),""),"")</f>
        <v/>
      </c>
      <c r="AN53" s="11" t="str" cm="1">
        <f t="array" ref="AN53">IFERROR(_xlfn.XLOOKUP($I53,#REF!,_xlfn.XLOOKUP(AN$10,#REF!,#REF!,"",0,1),""),"")</f>
        <v/>
      </c>
      <c r="AO53" s="11" t="str" cm="1">
        <f t="array" ref="AO53">IFERROR(_xlfn.XLOOKUP($I53,#REF!,_xlfn.XLOOKUP(AO$10,#REF!,#REF!,"",0,1),""),"")</f>
        <v/>
      </c>
      <c r="AP53" s="11" t="str" cm="1">
        <f t="array" ref="AP53">IFERROR(_xlfn.XLOOKUP($I53,#REF!,_xlfn.XLOOKUP(AP$10,#REF!,#REF!,"",0,1),""),"")</f>
        <v/>
      </c>
      <c r="AQ53" s="11" t="str" cm="1">
        <f t="array" ref="AQ53">IFERROR(_xlfn.XLOOKUP($I53,#REF!,_xlfn.XLOOKUP(AQ$10,#REF!,#REF!,"",0,1),""),"")</f>
        <v/>
      </c>
      <c r="AR53" s="12" t="str" cm="1">
        <f t="array" ref="AR53">IFERROR(_xlfn.XLOOKUP($I53,#REF!,_xlfn.XLOOKUP(AR$10,#REF!,#REF!,"",0,1),""),"")</f>
        <v/>
      </c>
      <c r="AS53" s="12" t="str" cm="1">
        <f t="array" ref="AS53">IFERROR(_xlfn.XLOOKUP($I53,#REF!,_xlfn.XLOOKUP(AS$10,#REF!,#REF!,"",0,1),""),"")</f>
        <v/>
      </c>
      <c r="AT53" s="12" t="str" cm="1">
        <f t="array" ref="AT53">IFERROR(_xlfn.XLOOKUP($I53,#REF!,_xlfn.XLOOKUP(AT$10,#REF!,#REF!,"",0,1),""),"")</f>
        <v/>
      </c>
      <c r="AU53" s="12" t="str" cm="1">
        <f t="array" ref="AU53">IFERROR(_xlfn.XLOOKUP($I53,#REF!,_xlfn.XLOOKUP(AU$10,#REF!,#REF!,"",0,1),""),"")</f>
        <v/>
      </c>
      <c r="AV53" s="12" t="str" cm="1">
        <f t="array" ref="AV53">IFERROR(_xlfn.XLOOKUP($I53,#REF!,_xlfn.XLOOKUP(AV$10,#REF!,#REF!,"",0,1),""),"")</f>
        <v/>
      </c>
      <c r="AW53" s="12" t="str">
        <f>IFERROR(_xlfn.XLOOKUP($I53,#REF!,#REF!,""),"")</f>
        <v/>
      </c>
      <c r="AX53" s="12" t="str">
        <f>IFERROR(_xlfn.XLOOKUP($I53,#REF!,#REF!,""),"")</f>
        <v/>
      </c>
      <c r="AY53" s="12" t="str">
        <f>IFERROR(_xlfn.XLOOKUP($I53,#REF!,#REF!,""),"")</f>
        <v/>
      </c>
      <c r="AZ53" s="11" t="str" cm="1">
        <f t="array" ref="AZ53">IFERROR(_xlfn.XLOOKUP($I53,#REF!,_xlfn.XLOOKUP(AZ$10,#REF!,#REF!,"",0,1),""),"")</f>
        <v/>
      </c>
      <c r="BA53" s="11" t="str" cm="1">
        <f t="array" ref="BA53">IFERROR(_xlfn.XLOOKUP($I53,#REF!,_xlfn.XLOOKUP(BA$10,#REF!,#REF!,"",0,1),""),"")</f>
        <v/>
      </c>
      <c r="BB53" s="11" t="str">
        <f>IFERROR(_xlfn.XLOOKUP($I53,#REF!,#REF!,""),"")</f>
        <v/>
      </c>
      <c r="BC53" s="11" t="str">
        <f>IFERROR(_xlfn.XLOOKUP($I53,#REF!,#REF!,""),"")</f>
        <v/>
      </c>
      <c r="BD53" s="12" t="str" cm="1">
        <f t="array" ref="BD53">IFERROR(_xlfn.XLOOKUP($I53,#REF!,_xlfn.XLOOKUP(BD$10,#REF!,#REF!,"",0,1),""),"")</f>
        <v/>
      </c>
      <c r="BE53" s="12" t="str" cm="1">
        <f t="array" ref="BE53">IFERROR(_xlfn.XLOOKUP($I53,#REF!,_xlfn.XLOOKUP(BE$10,#REF!,#REF!,"",0,1),""),"")</f>
        <v/>
      </c>
      <c r="BF53" s="12" t="str" cm="1">
        <f t="array" ref="BF53">IFERROR(_xlfn.XLOOKUP($I53,#REF!,_xlfn.XLOOKUP(BF$10,#REF!,#REF!,"",0,1),""),"")</f>
        <v/>
      </c>
      <c r="BG53" s="12" t="str" cm="1">
        <f t="array" ref="BG53">IFERROR(_xlfn.XLOOKUP($I53,#REF!,_xlfn.XLOOKUP(BG$10,#REF!,#REF!,"",0,1),""),"")</f>
        <v/>
      </c>
      <c r="BH53" s="12" t="str" cm="1">
        <f t="array" ref="BH53">IFERROR(_xlfn.XLOOKUP($I53,#REF!,_xlfn.XLOOKUP(BH$10,#REF!,#REF!,"",0,1),""),"")</f>
        <v/>
      </c>
      <c r="BI53" s="12" t="str" cm="1">
        <f t="array" ref="BI53">IFERROR(_xlfn.XLOOKUP($I53,#REF!,_xlfn.XLOOKUP(BI$10,#REF!,#REF!,"",0,1),""),"")</f>
        <v/>
      </c>
      <c r="BJ53" s="12" t="str" cm="1">
        <f t="array" ref="BJ53">IFERROR(_xlfn.XLOOKUP($I53,#REF!,_xlfn.XLOOKUP(BJ$10,#REF!,#REF!,"",0,1),""),"")</f>
        <v/>
      </c>
      <c r="BK53" s="12" t="str" cm="1">
        <f t="array" ref="BK53">IFERROR(_xlfn.XLOOKUP($I53,#REF!,_xlfn.XLOOKUP(BK$10,#REF!,#REF!,"",0,1),""),"")</f>
        <v/>
      </c>
      <c r="BL53" s="12" t="str" cm="1">
        <f t="array" ref="BL53">IFERROR(_xlfn.XLOOKUP($I53,#REF!,_xlfn.XLOOKUP(BL$10,#REF!,#REF!,"",0,1),""),"")</f>
        <v/>
      </c>
      <c r="BM53" s="12" t="str">
        <f>IFERROR(_xlfn.XLOOKUP($I53,#REF!,#REF!,""),"")</f>
        <v/>
      </c>
      <c r="BN53" s="12" t="str">
        <f>IFERROR(_xlfn.XLOOKUP($I53,#REF!,#REF!,""),"")</f>
        <v/>
      </c>
      <c r="BO53" s="12" t="str">
        <f>IFERROR(_xlfn.XLOOKUP($I53,#REF!,#REF!,""),"")</f>
        <v/>
      </c>
      <c r="BP53" s="12" t="str" cm="1">
        <f t="array" ref="BP53">IFERROR(_xlfn.XLOOKUP($I53,#REF!,_xlfn.XLOOKUP(BP$10,#REF!,#REF!,"",0,1),""),"")</f>
        <v/>
      </c>
      <c r="BQ53" s="12" t="str">
        <f>IFERROR(_xlfn.XLOOKUP($I53,#REF!,#REF!,""),"")</f>
        <v/>
      </c>
      <c r="BR53" s="12" t="str">
        <f>IFERROR(_xlfn.XLOOKUP($I53,#REF!,#REF!,""),"")</f>
        <v/>
      </c>
      <c r="BS53" s="12" t="str">
        <f>IFERROR(_xlfn.XLOOKUP($I53,#REF!,#REF!,""),"")</f>
        <v/>
      </c>
      <c r="BT53" s="11" t="str">
        <f>IFERROR(_xlfn.XLOOKUP($I53,#REF!,#REF!,""),"")</f>
        <v/>
      </c>
      <c r="BU53" s="11" t="str">
        <f>IFERROR(_xlfn.XLOOKUP($I53,#REF!,#REF!,""),"")</f>
        <v/>
      </c>
      <c r="BV53" s="32" t="str">
        <f>IFERROR(_xlfn.XLOOKUP($I53,#REF!,#REF!,""),"")</f>
        <v/>
      </c>
      <c r="BW53" s="12" t="str">
        <f>IFERROR(_xlfn.XLOOKUP($I53,#REF!,#REF!,""),"")</f>
        <v/>
      </c>
    </row>
    <row r="54" spans="3:75" ht="69.599999999999994" customHeight="1" x14ac:dyDescent="0.3">
      <c r="C54" s="22" t="str">
        <f>IFERROR(_xlfn.XLOOKUP($I54,#REF!,#REF!,""),"")</f>
        <v/>
      </c>
      <c r="D54" s="19" t="str">
        <f>IFERROR(_xlfn.XLOOKUP($I54,#REF!,#REF!,""),"")</f>
        <v/>
      </c>
      <c r="E54" s="23" t="str">
        <f>IFERROR(_xlfn.XLOOKUP($I54,#REF!,#REF!,""),"")</f>
        <v/>
      </c>
      <c r="F54" s="19" t="str">
        <f>IFERROR(_xlfn.XLOOKUP($I54,#REF!,#REF!,""),"")</f>
        <v/>
      </c>
      <c r="G54" s="19" t="str">
        <f>IFERROR(_xlfn.XLOOKUP($I54,#REF!,#REF!,""),"")</f>
        <v/>
      </c>
      <c r="H54" s="19" t="str">
        <f>IFERROR(_xlfn.XLOOKUP($I54,#REF!,#REF!,""),"")</f>
        <v/>
      </c>
      <c r="I54" s="77">
        <v>53237</v>
      </c>
      <c r="J54" s="12" t="str" cm="1">
        <f t="array" ref="J54">IFERROR(_xlfn.XLOOKUP($I54,#REF!,_xlfn.XLOOKUP(J$10,#REF!,#REF!,"",0,1),""),"")</f>
        <v/>
      </c>
      <c r="K54" s="12" t="str" cm="1">
        <f t="array" ref="K54">IFERROR(_xlfn.XLOOKUP($I54,#REF!,_xlfn.XLOOKUP(K$10,#REF!,#REF!,"",0,1),""),"")</f>
        <v/>
      </c>
      <c r="L54" s="12" t="str" cm="1">
        <f t="array" ref="L54">IFERROR(_xlfn.XLOOKUP($I54,#REF!,_xlfn.XLOOKUP(L$10,#REF!,#REF!,"",0,1),""),"")</f>
        <v/>
      </c>
      <c r="M54" s="36" t="str" cm="1">
        <f t="array" ref="M54">IFERROR(_xlfn.XLOOKUP($I54,#REF!,_xlfn.XLOOKUP(M$10,#REF!,#REF!,"",0,1),""),"")</f>
        <v/>
      </c>
      <c r="N54" s="37" t="str" cm="1">
        <f t="array" ref="N54">IFERROR(_xlfn.XLOOKUP($I54,#REF!,_xlfn.XLOOKUP(N$10,#REF!,#REF!,"",0,1),""),"")</f>
        <v/>
      </c>
      <c r="O54" s="12" t="str" cm="1">
        <f t="array" ref="O54">IFERROR(_xlfn.XLOOKUP($I54,#REF!,_xlfn.XLOOKUP(O$10,#REF!,#REF!,"",0,1),""),"")</f>
        <v/>
      </c>
      <c r="P54" s="12" t="str" cm="1">
        <f t="array" ref="P54">IFERROR(_xlfn.XLOOKUP($I54,#REF!,_xlfn.XLOOKUP(P$10,#REF!,#REF!,"",0,1),""),"")</f>
        <v/>
      </c>
      <c r="Q54" s="12" t="str" cm="1">
        <f t="array" ref="Q54">IFERROR(_xlfn.XLOOKUP($I54,#REF!,_xlfn.XLOOKUP(Q$10,#REF!,#REF!,"",0,1),""),"")</f>
        <v/>
      </c>
      <c r="R54" s="12" t="str" cm="1">
        <f t="array" ref="R54">IFERROR(_xlfn.XLOOKUP($I54,#REF!,_xlfn.XLOOKUP(R$10,#REF!,#REF!,"",0,1),""),"")</f>
        <v/>
      </c>
      <c r="S54" s="12" t="str">
        <f>IFERROR(_xlfn.XLOOKUP($I54,#REF!,#REF!,""),"")</f>
        <v/>
      </c>
      <c r="T54" s="12" t="str">
        <f>IFERROR(_xlfn.XLOOKUP($I54,#REF!,#REF!,""),"")</f>
        <v/>
      </c>
      <c r="U54" s="12" t="str">
        <f>IFERROR(_xlfn.XLOOKUP($I54,#REF!,#REF!,""),"")</f>
        <v/>
      </c>
      <c r="V54" s="12" t="str">
        <f>IFERROR(_xlfn.XLOOKUP($I54,#REF!,#REF!,""),"")</f>
        <v/>
      </c>
      <c r="W54" s="74" t="str" cm="1">
        <f t="array" ref="W54">IFERROR(_xlfn.XLOOKUP($I54,#REF!,_xlfn.XLOOKUP(W$10,#REF!,#REF!,"",0,1),""),"")</f>
        <v/>
      </c>
      <c r="X54" s="74" t="str" cm="1">
        <f t="array" ref="X54">IFERROR(_xlfn.XLOOKUP($I54,#REF!,_xlfn.XLOOKUP(X$10,#REF!,#REF!,"",0,1),""),"")</f>
        <v/>
      </c>
      <c r="Y54" s="74" t="str" cm="1">
        <f t="array" ref="Y54">IFERROR(_xlfn.XLOOKUP($I54,#REF!,_xlfn.XLOOKUP(Y$10,#REF!,#REF!,"",0,1),""),"")</f>
        <v/>
      </c>
      <c r="Z54" s="74" t="str" cm="1">
        <f t="array" ref="Z54">IFERROR(_xlfn.XLOOKUP($I54,#REF!,_xlfn.XLOOKUP(Z$10,#REF!,#REF!,"",0,1),""),"")</f>
        <v/>
      </c>
      <c r="AA54" s="74" t="str" cm="1">
        <f t="array" ref="AA54">IFERROR(_xlfn.XLOOKUP($I54,#REF!,_xlfn.XLOOKUP(AA$10,#REF!,#REF!,"",0,1),""),"")</f>
        <v/>
      </c>
      <c r="AB54" s="12" t="str" cm="1">
        <f t="array" ref="AB54">IFERROR(_xlfn.XLOOKUP($I54,#REF!,_xlfn.XLOOKUP(AB$10,#REF!,#REF!,"",0,1),""),"")</f>
        <v/>
      </c>
      <c r="AC54" s="52" t="str" cm="1">
        <f t="array" ref="AC54">IFERROR(_xlfn.XLOOKUP($I54,#REF!,_xlfn.XLOOKUP(AC$10,#REF!,#REF!,"",0,1),""),"")</f>
        <v/>
      </c>
      <c r="AD54" s="12" t="str" cm="1">
        <f t="array" ref="AD54">IFERROR(_xlfn.XLOOKUP($I54,#REF!,_xlfn.XLOOKUP(AD$10,#REF!,#REF!,"",0,1),""),"")</f>
        <v/>
      </c>
      <c r="AE54" s="12"/>
      <c r="AF54" s="12" t="str" cm="1">
        <f t="array" ref="AF54">IFERROR(_xlfn.XLOOKUP($I54,#REF!,_xlfn.XLOOKUP(AF$10,#REF!,#REF!,"",0,1),""),"")</f>
        <v/>
      </c>
      <c r="AG54" s="12" t="str" cm="1">
        <f t="array" ref="AG54">IFERROR(_xlfn.XLOOKUP($I54,#REF!,_xlfn.XLOOKUP(AG$10,#REF!,#REF!,"",0,1),""),"")</f>
        <v/>
      </c>
      <c r="AH54" s="12" t="str" cm="1">
        <f t="array" ref="AH54">IFERROR(_xlfn.XLOOKUP($I54,#REF!,_xlfn.XLOOKUP(AH$10,#REF!,#REF!,"",0,1),""),"")</f>
        <v/>
      </c>
      <c r="AI54" s="12" t="str" cm="1">
        <f t="array" ref="AI54">IFERROR(_xlfn.XLOOKUP($I54,#REF!,_xlfn.XLOOKUP(AI$10,#REF!,#REF!,"",0,1),""),"")</f>
        <v/>
      </c>
      <c r="AJ54" s="12"/>
      <c r="AK54" s="12"/>
      <c r="AL54" s="11" t="str" cm="1">
        <f t="array" ref="AL54">IFERROR(_xlfn.XLOOKUP($I54,#REF!,_xlfn.XLOOKUP(AL$10,#REF!,#REF!,"",0,1),""),"")</f>
        <v/>
      </c>
      <c r="AM54" s="11" t="str" cm="1">
        <f t="array" ref="AM54">IFERROR(_xlfn.XLOOKUP($I54,#REF!,_xlfn.XLOOKUP(AM$10,#REF!,#REF!,"",0,1),""),"")</f>
        <v/>
      </c>
      <c r="AN54" s="11" t="str" cm="1">
        <f t="array" ref="AN54">IFERROR(_xlfn.XLOOKUP($I54,#REF!,_xlfn.XLOOKUP(AN$10,#REF!,#REF!,"",0,1),""),"")</f>
        <v/>
      </c>
      <c r="AO54" s="11" t="str" cm="1">
        <f t="array" ref="AO54">IFERROR(_xlfn.XLOOKUP($I54,#REF!,_xlfn.XLOOKUP(AO$10,#REF!,#REF!,"",0,1),""),"")</f>
        <v/>
      </c>
      <c r="AP54" s="11" t="str" cm="1">
        <f t="array" ref="AP54">IFERROR(_xlfn.XLOOKUP($I54,#REF!,_xlfn.XLOOKUP(AP$10,#REF!,#REF!,"",0,1),""),"")</f>
        <v/>
      </c>
      <c r="AQ54" s="11" t="str" cm="1">
        <f t="array" ref="AQ54">IFERROR(_xlfn.XLOOKUP($I54,#REF!,_xlfn.XLOOKUP(AQ$10,#REF!,#REF!,"",0,1),""),"")</f>
        <v/>
      </c>
      <c r="AR54" s="12" t="str" cm="1">
        <f t="array" ref="AR54">IFERROR(_xlfn.XLOOKUP($I54,#REF!,_xlfn.XLOOKUP(AR$10,#REF!,#REF!,"",0,1),""),"")</f>
        <v/>
      </c>
      <c r="AS54" s="12" t="str" cm="1">
        <f t="array" ref="AS54">IFERROR(_xlfn.XLOOKUP($I54,#REF!,_xlfn.XLOOKUP(AS$10,#REF!,#REF!,"",0,1),""),"")</f>
        <v/>
      </c>
      <c r="AT54" s="12" t="str" cm="1">
        <f t="array" ref="AT54">IFERROR(_xlfn.XLOOKUP($I54,#REF!,_xlfn.XLOOKUP(AT$10,#REF!,#REF!,"",0,1),""),"")</f>
        <v/>
      </c>
      <c r="AU54" s="12" t="str" cm="1">
        <f t="array" ref="AU54">IFERROR(_xlfn.XLOOKUP($I54,#REF!,_xlfn.XLOOKUP(AU$10,#REF!,#REF!,"",0,1),""),"")</f>
        <v/>
      </c>
      <c r="AV54" s="12" t="str" cm="1">
        <f t="array" ref="AV54">IFERROR(_xlfn.XLOOKUP($I54,#REF!,_xlfn.XLOOKUP(AV$10,#REF!,#REF!,"",0,1),""),"")</f>
        <v/>
      </c>
      <c r="AW54" s="12" t="str">
        <f>IFERROR(_xlfn.XLOOKUP($I54,#REF!,#REF!,""),"")</f>
        <v/>
      </c>
      <c r="AX54" s="12" t="str">
        <f>IFERROR(_xlfn.XLOOKUP($I54,#REF!,#REF!,""),"")</f>
        <v/>
      </c>
      <c r="AY54" s="12" t="str">
        <f>IFERROR(_xlfn.XLOOKUP($I54,#REF!,#REF!,""),"")</f>
        <v/>
      </c>
      <c r="AZ54" s="11" t="str" cm="1">
        <f t="array" ref="AZ54">IFERROR(_xlfn.XLOOKUP($I54,#REF!,_xlfn.XLOOKUP(AZ$10,#REF!,#REF!,"",0,1),""),"")</f>
        <v/>
      </c>
      <c r="BA54" s="11" t="str" cm="1">
        <f t="array" ref="BA54">IFERROR(_xlfn.XLOOKUP($I54,#REF!,_xlfn.XLOOKUP(BA$10,#REF!,#REF!,"",0,1),""),"")</f>
        <v/>
      </c>
      <c r="BB54" s="11" t="str">
        <f>IFERROR(_xlfn.XLOOKUP($I54,#REF!,#REF!,""),"")</f>
        <v/>
      </c>
      <c r="BC54" s="11" t="str">
        <f>IFERROR(_xlfn.XLOOKUP($I54,#REF!,#REF!,""),"")</f>
        <v/>
      </c>
      <c r="BD54" s="12" t="str" cm="1">
        <f t="array" ref="BD54">IFERROR(_xlfn.XLOOKUP($I54,#REF!,_xlfn.XLOOKUP(BD$10,#REF!,#REF!,"",0,1),""),"")</f>
        <v/>
      </c>
      <c r="BE54" s="12" t="str" cm="1">
        <f t="array" ref="BE54">IFERROR(_xlfn.XLOOKUP($I54,#REF!,_xlfn.XLOOKUP(BE$10,#REF!,#REF!,"",0,1),""),"")</f>
        <v/>
      </c>
      <c r="BF54" s="12" t="str" cm="1">
        <f t="array" ref="BF54">IFERROR(_xlfn.XLOOKUP($I54,#REF!,_xlfn.XLOOKUP(BF$10,#REF!,#REF!,"",0,1),""),"")</f>
        <v/>
      </c>
      <c r="BG54" s="12" t="str" cm="1">
        <f t="array" ref="BG54">IFERROR(_xlfn.XLOOKUP($I54,#REF!,_xlfn.XLOOKUP(BG$10,#REF!,#REF!,"",0,1),""),"")</f>
        <v/>
      </c>
      <c r="BH54" s="12" t="str" cm="1">
        <f t="array" ref="BH54">IFERROR(_xlfn.XLOOKUP($I54,#REF!,_xlfn.XLOOKUP(BH$10,#REF!,#REF!,"",0,1),""),"")</f>
        <v/>
      </c>
      <c r="BI54" s="12" t="str" cm="1">
        <f t="array" ref="BI54">IFERROR(_xlfn.XLOOKUP($I54,#REF!,_xlfn.XLOOKUP(BI$10,#REF!,#REF!,"",0,1),""),"")</f>
        <v/>
      </c>
      <c r="BJ54" s="12" t="str" cm="1">
        <f t="array" ref="BJ54">IFERROR(_xlfn.XLOOKUP($I54,#REF!,_xlfn.XLOOKUP(BJ$10,#REF!,#REF!,"",0,1),""),"")</f>
        <v/>
      </c>
      <c r="BK54" s="12" t="str" cm="1">
        <f t="array" ref="BK54">IFERROR(_xlfn.XLOOKUP($I54,#REF!,_xlfn.XLOOKUP(BK$10,#REF!,#REF!,"",0,1),""),"")</f>
        <v/>
      </c>
      <c r="BL54" s="12" t="str" cm="1">
        <f t="array" ref="BL54">IFERROR(_xlfn.XLOOKUP($I54,#REF!,_xlfn.XLOOKUP(BL$10,#REF!,#REF!,"",0,1),""),"")</f>
        <v/>
      </c>
      <c r="BM54" s="12" t="str">
        <f>IFERROR(_xlfn.XLOOKUP($I54,#REF!,#REF!,""),"")</f>
        <v/>
      </c>
      <c r="BN54" s="12" t="str">
        <f>IFERROR(_xlfn.XLOOKUP($I54,#REF!,#REF!,""),"")</f>
        <v/>
      </c>
      <c r="BO54" s="12" t="str">
        <f>IFERROR(_xlfn.XLOOKUP($I54,#REF!,#REF!,""),"")</f>
        <v/>
      </c>
      <c r="BP54" s="12" t="str" cm="1">
        <f t="array" ref="BP54">IFERROR(_xlfn.XLOOKUP($I54,#REF!,_xlfn.XLOOKUP(BP$10,#REF!,#REF!,"",0,1),""),"")</f>
        <v/>
      </c>
      <c r="BQ54" s="12" t="str">
        <f>IFERROR(_xlfn.XLOOKUP($I54,#REF!,#REF!,""),"")</f>
        <v/>
      </c>
      <c r="BR54" s="12" t="str">
        <f>IFERROR(_xlfn.XLOOKUP($I54,#REF!,#REF!,""),"")</f>
        <v/>
      </c>
      <c r="BS54" s="12" t="str">
        <f>IFERROR(_xlfn.XLOOKUP($I54,#REF!,#REF!,""),"")</f>
        <v/>
      </c>
      <c r="BT54" s="11" t="str">
        <f>IFERROR(_xlfn.XLOOKUP($I54,#REF!,#REF!,""),"")</f>
        <v/>
      </c>
      <c r="BU54" s="11" t="str">
        <f>IFERROR(_xlfn.XLOOKUP($I54,#REF!,#REF!,""),"")</f>
        <v/>
      </c>
      <c r="BV54" s="32" t="str">
        <f>IFERROR(_xlfn.XLOOKUP($I54,#REF!,#REF!,""),"")</f>
        <v/>
      </c>
      <c r="BW54" s="12" t="str">
        <f>IFERROR(_xlfn.XLOOKUP($I54,#REF!,#REF!,""),"")</f>
        <v/>
      </c>
    </row>
    <row r="55" spans="3:75" ht="52.35" customHeight="1" x14ac:dyDescent="0.3">
      <c r="C55" s="22" t="str">
        <f>IFERROR(_xlfn.XLOOKUP($I55,#REF!,#REF!,""),"")</f>
        <v/>
      </c>
      <c r="D55" s="19" t="str">
        <f>IFERROR(_xlfn.XLOOKUP($I55,#REF!,#REF!,""),"")</f>
        <v/>
      </c>
      <c r="E55" s="23" t="str">
        <f>IFERROR(_xlfn.XLOOKUP($I55,#REF!,#REF!,""),"")</f>
        <v/>
      </c>
      <c r="F55" s="19" t="str">
        <f>IFERROR(_xlfn.XLOOKUP($I55,#REF!,#REF!,""),"")</f>
        <v/>
      </c>
      <c r="G55" s="19" t="str">
        <f>IFERROR(_xlfn.XLOOKUP($I55,#REF!,#REF!,""),"")</f>
        <v/>
      </c>
      <c r="H55" s="19" t="str">
        <f>IFERROR(_xlfn.XLOOKUP($I55,#REF!,#REF!,""),"")</f>
        <v/>
      </c>
      <c r="I55" s="77">
        <v>116661</v>
      </c>
      <c r="J55" s="12" t="str" cm="1">
        <f t="array" ref="J55">IFERROR(_xlfn.XLOOKUP($I55,#REF!,_xlfn.XLOOKUP(J$10,#REF!,#REF!,"",0,1),""),"")</f>
        <v/>
      </c>
      <c r="K55" s="12" t="str" cm="1">
        <f t="array" ref="K55">IFERROR(_xlfn.XLOOKUP($I55,#REF!,_xlfn.XLOOKUP(K$10,#REF!,#REF!,"",0,1),""),"")</f>
        <v/>
      </c>
      <c r="L55" s="12" t="str" cm="1">
        <f t="array" ref="L55">IFERROR(_xlfn.XLOOKUP($I55,#REF!,_xlfn.XLOOKUP(L$10,#REF!,#REF!,"",0,1),""),"")</f>
        <v/>
      </c>
      <c r="M55" s="36" t="str" cm="1">
        <f t="array" ref="M55">IFERROR(_xlfn.XLOOKUP($I55,#REF!,_xlfn.XLOOKUP(M$10,#REF!,#REF!,"",0,1),""),"")</f>
        <v/>
      </c>
      <c r="N55" s="37" t="str" cm="1">
        <f t="array" ref="N55">IFERROR(_xlfn.XLOOKUP($I55,#REF!,_xlfn.XLOOKUP(N$10,#REF!,#REF!,"",0,1),""),"")</f>
        <v/>
      </c>
      <c r="O55" s="12" t="str" cm="1">
        <f t="array" ref="O55">IFERROR(_xlfn.XLOOKUP($I55,#REF!,_xlfn.XLOOKUP(O$10,#REF!,#REF!,"",0,1),""),"")</f>
        <v/>
      </c>
      <c r="P55" s="12" t="str" cm="1">
        <f t="array" ref="P55">IFERROR(_xlfn.XLOOKUP($I55,#REF!,_xlfn.XLOOKUP(P$10,#REF!,#REF!,"",0,1),""),"")</f>
        <v/>
      </c>
      <c r="Q55" s="12" t="str" cm="1">
        <f t="array" ref="Q55">IFERROR(_xlfn.XLOOKUP($I55,#REF!,_xlfn.XLOOKUP(Q$10,#REF!,#REF!,"",0,1),""),"")</f>
        <v/>
      </c>
      <c r="R55" s="12" t="str" cm="1">
        <f t="array" ref="R55">IFERROR(_xlfn.XLOOKUP($I55,#REF!,_xlfn.XLOOKUP(R$10,#REF!,#REF!,"",0,1),""),"")</f>
        <v/>
      </c>
      <c r="S55" s="12" t="str">
        <f>IFERROR(_xlfn.XLOOKUP($I55,#REF!,#REF!,""),"")</f>
        <v/>
      </c>
      <c r="T55" s="12" t="str">
        <f>IFERROR(_xlfn.XLOOKUP($I55,#REF!,#REF!,""),"")</f>
        <v/>
      </c>
      <c r="U55" s="12" t="str">
        <f>IFERROR(_xlfn.XLOOKUP($I55,#REF!,#REF!,""),"")</f>
        <v/>
      </c>
      <c r="V55" s="12" t="str">
        <f>IFERROR(_xlfn.XLOOKUP($I55,#REF!,#REF!,""),"")</f>
        <v/>
      </c>
      <c r="W55" s="74" t="str" cm="1">
        <f t="array" ref="W55">IFERROR(_xlfn.XLOOKUP($I55,#REF!,_xlfn.XLOOKUP(W$10,#REF!,#REF!,"",0,1),""),"")</f>
        <v/>
      </c>
      <c r="X55" s="74" t="str" cm="1">
        <f t="array" ref="X55">IFERROR(_xlfn.XLOOKUP($I55,#REF!,_xlfn.XLOOKUP(X$10,#REF!,#REF!,"",0,1),""),"")</f>
        <v/>
      </c>
      <c r="Y55" s="74" t="str" cm="1">
        <f t="array" ref="Y55">IFERROR(_xlfn.XLOOKUP($I55,#REF!,_xlfn.XLOOKUP(Y$10,#REF!,#REF!,"",0,1),""),"")</f>
        <v/>
      </c>
      <c r="Z55" s="74" t="str" cm="1">
        <f t="array" ref="Z55">IFERROR(_xlfn.XLOOKUP($I55,#REF!,_xlfn.XLOOKUP(Z$10,#REF!,#REF!,"",0,1),""),"")</f>
        <v/>
      </c>
      <c r="AA55" s="74" t="str" cm="1">
        <f t="array" ref="AA55">IFERROR(_xlfn.XLOOKUP($I55,#REF!,_xlfn.XLOOKUP(AA$10,#REF!,#REF!,"",0,1),""),"")</f>
        <v/>
      </c>
      <c r="AB55" s="12" t="str" cm="1">
        <f t="array" ref="AB55">IFERROR(_xlfn.XLOOKUP($I55,#REF!,_xlfn.XLOOKUP(AB$10,#REF!,#REF!,"",0,1),""),"")</f>
        <v/>
      </c>
      <c r="AC55" s="52" t="str" cm="1">
        <f t="array" ref="AC55">IFERROR(_xlfn.XLOOKUP($I55,#REF!,_xlfn.XLOOKUP(AC$10,#REF!,#REF!,"",0,1),""),"")</f>
        <v/>
      </c>
      <c r="AD55" s="12" t="str" cm="1">
        <f t="array" ref="AD55">IFERROR(_xlfn.XLOOKUP($I55,#REF!,_xlfn.XLOOKUP(AD$10,#REF!,#REF!,"",0,1),""),"")</f>
        <v/>
      </c>
      <c r="AE55" s="12"/>
      <c r="AF55" s="12" t="str" cm="1">
        <f t="array" ref="AF55">IFERROR(_xlfn.XLOOKUP($I55,#REF!,_xlfn.XLOOKUP(AF$10,#REF!,#REF!,"",0,1),""),"")</f>
        <v/>
      </c>
      <c r="AG55" s="12" t="str" cm="1">
        <f t="array" ref="AG55">IFERROR(_xlfn.XLOOKUP($I55,#REF!,_xlfn.XLOOKUP(AG$10,#REF!,#REF!,"",0,1),""),"")</f>
        <v/>
      </c>
      <c r="AH55" s="12" t="str" cm="1">
        <f t="array" ref="AH55">IFERROR(_xlfn.XLOOKUP($I55,#REF!,_xlfn.XLOOKUP(AH$10,#REF!,#REF!,"",0,1),""),"")</f>
        <v/>
      </c>
      <c r="AI55" s="12" t="str" cm="1">
        <f t="array" ref="AI55">IFERROR(_xlfn.XLOOKUP($I55,#REF!,_xlfn.XLOOKUP(AI$10,#REF!,#REF!,"",0,1),""),"")</f>
        <v/>
      </c>
      <c r="AJ55" s="12"/>
      <c r="AK55" s="12"/>
      <c r="AL55" s="11" t="str" cm="1">
        <f t="array" ref="AL55">IFERROR(_xlfn.XLOOKUP($I55,#REF!,_xlfn.XLOOKUP(AL$10,#REF!,#REF!,"",0,1),""),"")</f>
        <v/>
      </c>
      <c r="AM55" s="11" t="str" cm="1">
        <f t="array" ref="AM55">IFERROR(_xlfn.XLOOKUP($I55,#REF!,_xlfn.XLOOKUP(AM$10,#REF!,#REF!,"",0,1),""),"")</f>
        <v/>
      </c>
      <c r="AN55" s="11" t="str" cm="1">
        <f t="array" ref="AN55">IFERROR(_xlfn.XLOOKUP($I55,#REF!,_xlfn.XLOOKUP(AN$10,#REF!,#REF!,"",0,1),""),"")</f>
        <v/>
      </c>
      <c r="AO55" s="11" t="str" cm="1">
        <f t="array" ref="AO55">IFERROR(_xlfn.XLOOKUP($I55,#REF!,_xlfn.XLOOKUP(AO$10,#REF!,#REF!,"",0,1),""),"")</f>
        <v/>
      </c>
      <c r="AP55" s="11" t="str" cm="1">
        <f t="array" ref="AP55">IFERROR(_xlfn.XLOOKUP($I55,#REF!,_xlfn.XLOOKUP(AP$10,#REF!,#REF!,"",0,1),""),"")</f>
        <v/>
      </c>
      <c r="AQ55" s="11" t="str" cm="1">
        <f t="array" ref="AQ55">IFERROR(_xlfn.XLOOKUP($I55,#REF!,_xlfn.XLOOKUP(AQ$10,#REF!,#REF!,"",0,1),""),"")</f>
        <v/>
      </c>
      <c r="AR55" s="12" t="str" cm="1">
        <f t="array" ref="AR55">IFERROR(_xlfn.XLOOKUP($I55,#REF!,_xlfn.XLOOKUP(AR$10,#REF!,#REF!,"",0,1),""),"")</f>
        <v/>
      </c>
      <c r="AS55" s="12" t="str" cm="1">
        <f t="array" ref="AS55">IFERROR(_xlfn.XLOOKUP($I55,#REF!,_xlfn.XLOOKUP(AS$10,#REF!,#REF!,"",0,1),""),"")</f>
        <v/>
      </c>
      <c r="AT55" s="12" t="str" cm="1">
        <f t="array" ref="AT55">IFERROR(_xlfn.XLOOKUP($I55,#REF!,_xlfn.XLOOKUP(AT$10,#REF!,#REF!,"",0,1),""),"")</f>
        <v/>
      </c>
      <c r="AU55" s="12" t="str" cm="1">
        <f t="array" ref="AU55">IFERROR(_xlfn.XLOOKUP($I55,#REF!,_xlfn.XLOOKUP(AU$10,#REF!,#REF!,"",0,1),""),"")</f>
        <v/>
      </c>
      <c r="AV55" s="12" t="str" cm="1">
        <f t="array" ref="AV55">IFERROR(_xlfn.XLOOKUP($I55,#REF!,_xlfn.XLOOKUP(AV$10,#REF!,#REF!,"",0,1),""),"")</f>
        <v/>
      </c>
      <c r="AW55" s="12" t="str">
        <f>IFERROR(_xlfn.XLOOKUP($I55,#REF!,#REF!,""),"")</f>
        <v/>
      </c>
      <c r="AX55" s="12" t="str">
        <f>IFERROR(_xlfn.XLOOKUP($I55,#REF!,#REF!,""),"")</f>
        <v/>
      </c>
      <c r="AY55" s="12" t="str">
        <f>IFERROR(_xlfn.XLOOKUP($I55,#REF!,#REF!,""),"")</f>
        <v/>
      </c>
      <c r="AZ55" s="11" t="str" cm="1">
        <f t="array" ref="AZ55">IFERROR(_xlfn.XLOOKUP($I55,#REF!,_xlfn.XLOOKUP(AZ$10,#REF!,#REF!,"",0,1),""),"")</f>
        <v/>
      </c>
      <c r="BA55" s="11" t="str" cm="1">
        <f t="array" ref="BA55">IFERROR(_xlfn.XLOOKUP($I55,#REF!,_xlfn.XLOOKUP(BA$10,#REF!,#REF!,"",0,1),""),"")</f>
        <v/>
      </c>
      <c r="BB55" s="11" t="str">
        <f>IFERROR(_xlfn.XLOOKUP($I55,#REF!,#REF!,""),"")</f>
        <v/>
      </c>
      <c r="BC55" s="11" t="str">
        <f>IFERROR(_xlfn.XLOOKUP($I55,#REF!,#REF!,""),"")</f>
        <v/>
      </c>
      <c r="BD55" s="12" t="str" cm="1">
        <f t="array" ref="BD55">IFERROR(_xlfn.XLOOKUP($I55,#REF!,_xlfn.XLOOKUP(BD$10,#REF!,#REF!,"",0,1),""),"")</f>
        <v/>
      </c>
      <c r="BE55" s="12" t="str" cm="1">
        <f t="array" ref="BE55">IFERROR(_xlfn.XLOOKUP($I55,#REF!,_xlfn.XLOOKUP(BE$10,#REF!,#REF!,"",0,1),""),"")</f>
        <v/>
      </c>
      <c r="BF55" s="12" t="str" cm="1">
        <f t="array" ref="BF55">IFERROR(_xlfn.XLOOKUP($I55,#REF!,_xlfn.XLOOKUP(BF$10,#REF!,#REF!,"",0,1),""),"")</f>
        <v/>
      </c>
      <c r="BG55" s="12" t="str" cm="1">
        <f t="array" ref="BG55">IFERROR(_xlfn.XLOOKUP($I55,#REF!,_xlfn.XLOOKUP(BG$10,#REF!,#REF!,"",0,1),""),"")</f>
        <v/>
      </c>
      <c r="BH55" s="12" t="str" cm="1">
        <f t="array" ref="BH55">IFERROR(_xlfn.XLOOKUP($I55,#REF!,_xlfn.XLOOKUP(BH$10,#REF!,#REF!,"",0,1),""),"")</f>
        <v/>
      </c>
      <c r="BI55" s="12" t="str" cm="1">
        <f t="array" ref="BI55">IFERROR(_xlfn.XLOOKUP($I55,#REF!,_xlfn.XLOOKUP(BI$10,#REF!,#REF!,"",0,1),""),"")</f>
        <v/>
      </c>
      <c r="BJ55" s="12" t="str" cm="1">
        <f t="array" ref="BJ55">IFERROR(_xlfn.XLOOKUP($I55,#REF!,_xlfn.XLOOKUP(BJ$10,#REF!,#REF!,"",0,1),""),"")</f>
        <v/>
      </c>
      <c r="BK55" s="12" t="str" cm="1">
        <f t="array" ref="BK55">IFERROR(_xlfn.XLOOKUP($I55,#REF!,_xlfn.XLOOKUP(BK$10,#REF!,#REF!,"",0,1),""),"")</f>
        <v/>
      </c>
      <c r="BL55" s="12" t="str" cm="1">
        <f t="array" ref="BL55">IFERROR(_xlfn.XLOOKUP($I55,#REF!,_xlfn.XLOOKUP(BL$10,#REF!,#REF!,"",0,1),""),"")</f>
        <v/>
      </c>
      <c r="BM55" s="12" t="str">
        <f>IFERROR(_xlfn.XLOOKUP($I55,#REF!,#REF!,""),"")</f>
        <v/>
      </c>
      <c r="BN55" s="12" t="str">
        <f>IFERROR(_xlfn.XLOOKUP($I55,#REF!,#REF!,""),"")</f>
        <v/>
      </c>
      <c r="BO55" s="12" t="str">
        <f>IFERROR(_xlfn.XLOOKUP($I55,#REF!,#REF!,""),"")</f>
        <v/>
      </c>
      <c r="BP55" s="12" t="str" cm="1">
        <f t="array" ref="BP55">IFERROR(_xlfn.XLOOKUP($I55,#REF!,_xlfn.XLOOKUP(BP$10,#REF!,#REF!,"",0,1),""),"")</f>
        <v/>
      </c>
      <c r="BQ55" s="12" t="str">
        <f>IFERROR(_xlfn.XLOOKUP($I55,#REF!,#REF!,""),"")</f>
        <v/>
      </c>
      <c r="BR55" s="12" t="str">
        <f>IFERROR(_xlfn.XLOOKUP($I55,#REF!,#REF!,""),"")</f>
        <v/>
      </c>
      <c r="BS55" s="12" t="str">
        <f>IFERROR(_xlfn.XLOOKUP($I55,#REF!,#REF!,""),"")</f>
        <v/>
      </c>
      <c r="BT55" s="11" t="str">
        <f>IFERROR(_xlfn.XLOOKUP($I55,#REF!,#REF!,""),"")</f>
        <v/>
      </c>
      <c r="BU55" s="11" t="str">
        <f>IFERROR(_xlfn.XLOOKUP($I55,#REF!,#REF!,""),"")</f>
        <v/>
      </c>
      <c r="BV55" s="32" t="str">
        <f>IFERROR(_xlfn.XLOOKUP($I55,#REF!,#REF!,""),"")</f>
        <v/>
      </c>
      <c r="BW55" s="12" t="str">
        <f>IFERROR(_xlfn.XLOOKUP($I55,#REF!,#REF!,""),"")</f>
        <v/>
      </c>
    </row>
    <row r="56" spans="3:75" ht="52.35" customHeight="1" x14ac:dyDescent="0.3">
      <c r="C56" s="22" t="str">
        <f>IFERROR(_xlfn.XLOOKUP($I56,#REF!,#REF!,""),"")</f>
        <v/>
      </c>
      <c r="D56" s="19" t="str">
        <f>IFERROR(_xlfn.XLOOKUP($I56,#REF!,#REF!,""),"")</f>
        <v/>
      </c>
      <c r="E56" s="23" t="str">
        <f>IFERROR(_xlfn.XLOOKUP($I56,#REF!,#REF!,""),"")</f>
        <v/>
      </c>
      <c r="F56" s="19" t="str">
        <f>IFERROR(_xlfn.XLOOKUP($I56,#REF!,#REF!,""),"")</f>
        <v/>
      </c>
      <c r="G56" s="19" t="str">
        <f>IFERROR(_xlfn.XLOOKUP($I56,#REF!,#REF!,""),"")</f>
        <v/>
      </c>
      <c r="H56" s="19" t="str">
        <f>IFERROR(_xlfn.XLOOKUP($I56,#REF!,#REF!,""),"")</f>
        <v/>
      </c>
      <c r="I56" s="77">
        <v>91501</v>
      </c>
      <c r="J56" s="12" t="str" cm="1">
        <f t="array" ref="J56">IFERROR(_xlfn.XLOOKUP($I56,#REF!,_xlfn.XLOOKUP(J$10,#REF!,#REF!,"",0,1),""),"")</f>
        <v/>
      </c>
      <c r="K56" s="12" t="str" cm="1">
        <f t="array" ref="K56">IFERROR(_xlfn.XLOOKUP($I56,#REF!,_xlfn.XLOOKUP(K$10,#REF!,#REF!,"",0,1),""),"")</f>
        <v/>
      </c>
      <c r="L56" s="12" t="str" cm="1">
        <f t="array" ref="L56">IFERROR(_xlfn.XLOOKUP($I56,#REF!,_xlfn.XLOOKUP(L$10,#REF!,#REF!,"",0,1),""),"")</f>
        <v/>
      </c>
      <c r="M56" s="36" t="str" cm="1">
        <f t="array" ref="M56">IFERROR(_xlfn.XLOOKUP($I56,#REF!,_xlfn.XLOOKUP(M$10,#REF!,#REF!,"",0,1),""),"")</f>
        <v/>
      </c>
      <c r="N56" s="37" t="str" cm="1">
        <f t="array" ref="N56">IFERROR(_xlfn.XLOOKUP($I56,#REF!,_xlfn.XLOOKUP(N$10,#REF!,#REF!,"",0,1),""),"")</f>
        <v/>
      </c>
      <c r="O56" s="12" t="str" cm="1">
        <f t="array" ref="O56">IFERROR(_xlfn.XLOOKUP($I56,#REF!,_xlfn.XLOOKUP(O$10,#REF!,#REF!,"",0,1),""),"")</f>
        <v/>
      </c>
      <c r="P56" s="12" t="str" cm="1">
        <f t="array" ref="P56">IFERROR(_xlfn.XLOOKUP($I56,#REF!,_xlfn.XLOOKUP(P$10,#REF!,#REF!,"",0,1),""),"")</f>
        <v/>
      </c>
      <c r="Q56" s="12" t="str" cm="1">
        <f t="array" ref="Q56">IFERROR(_xlfn.XLOOKUP($I56,#REF!,_xlfn.XLOOKUP(Q$10,#REF!,#REF!,"",0,1),""),"")</f>
        <v/>
      </c>
      <c r="R56" s="12" t="str" cm="1">
        <f t="array" ref="R56">IFERROR(_xlfn.XLOOKUP($I56,#REF!,_xlfn.XLOOKUP(R$10,#REF!,#REF!,"",0,1),""),"")</f>
        <v/>
      </c>
      <c r="S56" s="12" t="str">
        <f>IFERROR(_xlfn.XLOOKUP($I56,#REF!,#REF!,""),"")</f>
        <v/>
      </c>
      <c r="T56" s="12" t="str">
        <f>IFERROR(_xlfn.XLOOKUP($I56,#REF!,#REF!,""),"")</f>
        <v/>
      </c>
      <c r="U56" s="12" t="str">
        <f>IFERROR(_xlfn.XLOOKUP($I56,#REF!,#REF!,""),"")</f>
        <v/>
      </c>
      <c r="V56" s="12" t="str">
        <f>IFERROR(_xlfn.XLOOKUP($I56,#REF!,#REF!,""),"")</f>
        <v/>
      </c>
      <c r="W56" s="74" t="str" cm="1">
        <f t="array" ref="W56">IFERROR(_xlfn.XLOOKUP($I56,#REF!,_xlfn.XLOOKUP(W$10,#REF!,#REF!,"",0,1),""),"")</f>
        <v/>
      </c>
      <c r="X56" s="74" t="str" cm="1">
        <f t="array" ref="X56">IFERROR(_xlfn.XLOOKUP($I56,#REF!,_xlfn.XLOOKUP(X$10,#REF!,#REF!,"",0,1),""),"")</f>
        <v/>
      </c>
      <c r="Y56" s="74" t="str" cm="1">
        <f t="array" ref="Y56">IFERROR(_xlfn.XLOOKUP($I56,#REF!,_xlfn.XLOOKUP(Y$10,#REF!,#REF!,"",0,1),""),"")</f>
        <v/>
      </c>
      <c r="Z56" s="74" t="str" cm="1">
        <f t="array" ref="Z56">IFERROR(_xlfn.XLOOKUP($I56,#REF!,_xlfn.XLOOKUP(Z$10,#REF!,#REF!,"",0,1),""),"")</f>
        <v/>
      </c>
      <c r="AA56" s="74" t="str" cm="1">
        <f t="array" ref="AA56">IFERROR(_xlfn.XLOOKUP($I56,#REF!,_xlfn.XLOOKUP(AA$10,#REF!,#REF!,"",0,1),""),"")</f>
        <v/>
      </c>
      <c r="AB56" s="12" t="str" cm="1">
        <f t="array" ref="AB56">IFERROR(_xlfn.XLOOKUP($I56,#REF!,_xlfn.XLOOKUP(AB$10,#REF!,#REF!,"",0,1),""),"")</f>
        <v/>
      </c>
      <c r="AC56" s="52" t="str" cm="1">
        <f t="array" ref="AC56">IFERROR(_xlfn.XLOOKUP($I56,#REF!,_xlfn.XLOOKUP(AC$10,#REF!,#REF!,"",0,1),""),"")</f>
        <v/>
      </c>
      <c r="AD56" s="12" t="str" cm="1">
        <f t="array" ref="AD56">IFERROR(_xlfn.XLOOKUP($I56,#REF!,_xlfn.XLOOKUP(AD$10,#REF!,#REF!,"",0,1),""),"")</f>
        <v/>
      </c>
      <c r="AE56" s="12"/>
      <c r="AF56" s="12" t="str" cm="1">
        <f t="array" ref="AF56">IFERROR(_xlfn.XLOOKUP($I56,#REF!,_xlfn.XLOOKUP(AF$10,#REF!,#REF!,"",0,1),""),"")</f>
        <v/>
      </c>
      <c r="AG56" s="12" t="str" cm="1">
        <f t="array" ref="AG56">IFERROR(_xlfn.XLOOKUP($I56,#REF!,_xlfn.XLOOKUP(AG$10,#REF!,#REF!,"",0,1),""),"")</f>
        <v/>
      </c>
      <c r="AH56" s="12" t="str" cm="1">
        <f t="array" ref="AH56">IFERROR(_xlfn.XLOOKUP($I56,#REF!,_xlfn.XLOOKUP(AH$10,#REF!,#REF!,"",0,1),""),"")</f>
        <v/>
      </c>
      <c r="AI56" s="12" t="str" cm="1">
        <f t="array" ref="AI56">IFERROR(_xlfn.XLOOKUP($I56,#REF!,_xlfn.XLOOKUP(AI$10,#REF!,#REF!,"",0,1),""),"")</f>
        <v/>
      </c>
      <c r="AJ56" s="12"/>
      <c r="AK56" s="12"/>
      <c r="AL56" s="11" t="str" cm="1">
        <f t="array" ref="AL56">IFERROR(_xlfn.XLOOKUP($I56,#REF!,_xlfn.XLOOKUP(AL$10,#REF!,#REF!,"",0,1),""),"")</f>
        <v/>
      </c>
      <c r="AM56" s="11" t="str" cm="1">
        <f t="array" ref="AM56">IFERROR(_xlfn.XLOOKUP($I56,#REF!,_xlfn.XLOOKUP(AM$10,#REF!,#REF!,"",0,1),""),"")</f>
        <v/>
      </c>
      <c r="AN56" s="11" t="str" cm="1">
        <f t="array" ref="AN56">IFERROR(_xlfn.XLOOKUP($I56,#REF!,_xlfn.XLOOKUP(AN$10,#REF!,#REF!,"",0,1),""),"")</f>
        <v/>
      </c>
      <c r="AO56" s="11" t="str" cm="1">
        <f t="array" ref="AO56">IFERROR(_xlfn.XLOOKUP($I56,#REF!,_xlfn.XLOOKUP(AO$10,#REF!,#REF!,"",0,1),""),"")</f>
        <v/>
      </c>
      <c r="AP56" s="11" t="str" cm="1">
        <f t="array" ref="AP56">IFERROR(_xlfn.XLOOKUP($I56,#REF!,_xlfn.XLOOKUP(AP$10,#REF!,#REF!,"",0,1),""),"")</f>
        <v/>
      </c>
      <c r="AQ56" s="11" t="str" cm="1">
        <f t="array" ref="AQ56">IFERROR(_xlfn.XLOOKUP($I56,#REF!,_xlfn.XLOOKUP(AQ$10,#REF!,#REF!,"",0,1),""),"")</f>
        <v/>
      </c>
      <c r="AR56" s="12" t="str" cm="1">
        <f t="array" ref="AR56">IFERROR(_xlfn.XLOOKUP($I56,#REF!,_xlfn.XLOOKUP(AR$10,#REF!,#REF!,"",0,1),""),"")</f>
        <v/>
      </c>
      <c r="AS56" s="12" t="str" cm="1">
        <f t="array" ref="AS56">IFERROR(_xlfn.XLOOKUP($I56,#REF!,_xlfn.XLOOKUP(AS$10,#REF!,#REF!,"",0,1),""),"")</f>
        <v/>
      </c>
      <c r="AT56" s="12" t="str" cm="1">
        <f t="array" ref="AT56">IFERROR(_xlfn.XLOOKUP($I56,#REF!,_xlfn.XLOOKUP(AT$10,#REF!,#REF!,"",0,1),""),"")</f>
        <v/>
      </c>
      <c r="AU56" s="12" t="str" cm="1">
        <f t="array" ref="AU56">IFERROR(_xlfn.XLOOKUP($I56,#REF!,_xlfn.XLOOKUP(AU$10,#REF!,#REF!,"",0,1),""),"")</f>
        <v/>
      </c>
      <c r="AV56" s="12" t="str" cm="1">
        <f t="array" ref="AV56">IFERROR(_xlfn.XLOOKUP($I56,#REF!,_xlfn.XLOOKUP(AV$10,#REF!,#REF!,"",0,1),""),"")</f>
        <v/>
      </c>
      <c r="AW56" s="12" t="str">
        <f>IFERROR(_xlfn.XLOOKUP($I56,#REF!,#REF!,""),"")</f>
        <v/>
      </c>
      <c r="AX56" s="12" t="str">
        <f>IFERROR(_xlfn.XLOOKUP($I56,#REF!,#REF!,""),"")</f>
        <v/>
      </c>
      <c r="AY56" s="12" t="str">
        <f>IFERROR(_xlfn.XLOOKUP($I56,#REF!,#REF!,""),"")</f>
        <v/>
      </c>
      <c r="AZ56" s="11" t="str" cm="1">
        <f t="array" ref="AZ56">IFERROR(_xlfn.XLOOKUP($I56,#REF!,_xlfn.XLOOKUP(AZ$10,#REF!,#REF!,"",0,1),""),"")</f>
        <v/>
      </c>
      <c r="BA56" s="11" t="str" cm="1">
        <f t="array" ref="BA56">IFERROR(_xlfn.XLOOKUP($I56,#REF!,_xlfn.XLOOKUP(BA$10,#REF!,#REF!,"",0,1),""),"")</f>
        <v/>
      </c>
      <c r="BB56" s="11" t="str">
        <f>IFERROR(_xlfn.XLOOKUP($I56,#REF!,#REF!,""),"")</f>
        <v/>
      </c>
      <c r="BC56" s="11" t="str">
        <f>IFERROR(_xlfn.XLOOKUP($I56,#REF!,#REF!,""),"")</f>
        <v/>
      </c>
      <c r="BD56" s="12" t="str" cm="1">
        <f t="array" ref="BD56">IFERROR(_xlfn.XLOOKUP($I56,#REF!,_xlfn.XLOOKUP(BD$10,#REF!,#REF!,"",0,1),""),"")</f>
        <v/>
      </c>
      <c r="BE56" s="12" t="str" cm="1">
        <f t="array" ref="BE56">IFERROR(_xlfn.XLOOKUP($I56,#REF!,_xlfn.XLOOKUP(BE$10,#REF!,#REF!,"",0,1),""),"")</f>
        <v/>
      </c>
      <c r="BF56" s="12" t="str" cm="1">
        <f t="array" ref="BF56">IFERROR(_xlfn.XLOOKUP($I56,#REF!,_xlfn.XLOOKUP(BF$10,#REF!,#REF!,"",0,1),""),"")</f>
        <v/>
      </c>
      <c r="BG56" s="12" t="str" cm="1">
        <f t="array" ref="BG56">IFERROR(_xlfn.XLOOKUP($I56,#REF!,_xlfn.XLOOKUP(BG$10,#REF!,#REF!,"",0,1),""),"")</f>
        <v/>
      </c>
      <c r="BH56" s="12" t="str" cm="1">
        <f t="array" ref="BH56">IFERROR(_xlfn.XLOOKUP($I56,#REF!,_xlfn.XLOOKUP(BH$10,#REF!,#REF!,"",0,1),""),"")</f>
        <v/>
      </c>
      <c r="BI56" s="12" t="str" cm="1">
        <f t="array" ref="BI56">IFERROR(_xlfn.XLOOKUP($I56,#REF!,_xlfn.XLOOKUP(BI$10,#REF!,#REF!,"",0,1),""),"")</f>
        <v/>
      </c>
      <c r="BJ56" s="12" t="str" cm="1">
        <f t="array" ref="BJ56">IFERROR(_xlfn.XLOOKUP($I56,#REF!,_xlfn.XLOOKUP(BJ$10,#REF!,#REF!,"",0,1),""),"")</f>
        <v/>
      </c>
      <c r="BK56" s="12" t="str" cm="1">
        <f t="array" ref="BK56">IFERROR(_xlfn.XLOOKUP($I56,#REF!,_xlfn.XLOOKUP(BK$10,#REF!,#REF!,"",0,1),""),"")</f>
        <v/>
      </c>
      <c r="BL56" s="12" t="str" cm="1">
        <f t="array" ref="BL56">IFERROR(_xlfn.XLOOKUP($I56,#REF!,_xlfn.XLOOKUP(BL$10,#REF!,#REF!,"",0,1),""),"")</f>
        <v/>
      </c>
      <c r="BM56" s="12" t="str">
        <f>IFERROR(_xlfn.XLOOKUP($I56,#REF!,#REF!,""),"")</f>
        <v/>
      </c>
      <c r="BN56" s="12" t="str">
        <f>IFERROR(_xlfn.XLOOKUP($I56,#REF!,#REF!,""),"")</f>
        <v/>
      </c>
      <c r="BO56" s="12" t="str">
        <f>IFERROR(_xlfn.XLOOKUP($I56,#REF!,#REF!,""),"")</f>
        <v/>
      </c>
      <c r="BP56" s="12" t="str" cm="1">
        <f t="array" ref="BP56">IFERROR(_xlfn.XLOOKUP($I56,#REF!,_xlfn.XLOOKUP(BP$10,#REF!,#REF!,"",0,1),""),"")</f>
        <v/>
      </c>
      <c r="BQ56" s="12" t="str">
        <f>IFERROR(_xlfn.XLOOKUP($I56,#REF!,#REF!,""),"")</f>
        <v/>
      </c>
      <c r="BR56" s="12" t="str">
        <f>IFERROR(_xlfn.XLOOKUP($I56,#REF!,#REF!,""),"")</f>
        <v/>
      </c>
      <c r="BS56" s="12" t="str">
        <f>IFERROR(_xlfn.XLOOKUP($I56,#REF!,#REF!,""),"")</f>
        <v/>
      </c>
      <c r="BT56" s="11" t="str">
        <f>IFERROR(_xlfn.XLOOKUP($I56,#REF!,#REF!,""),"")</f>
        <v/>
      </c>
      <c r="BU56" s="11" t="str">
        <f>IFERROR(_xlfn.XLOOKUP($I56,#REF!,#REF!,""),"")</f>
        <v/>
      </c>
      <c r="BV56" s="32" t="str">
        <f>IFERROR(_xlfn.XLOOKUP($I56,#REF!,#REF!,""),"")</f>
        <v/>
      </c>
      <c r="BW56" s="12" t="str">
        <f>IFERROR(_xlfn.XLOOKUP($I56,#REF!,#REF!,""),"")</f>
        <v/>
      </c>
    </row>
    <row r="57" spans="3:75" ht="52.35" customHeight="1" x14ac:dyDescent="0.3">
      <c r="C57" s="22" t="str">
        <f>IFERROR(_xlfn.XLOOKUP($I57,#REF!,#REF!,""),"")</f>
        <v/>
      </c>
      <c r="D57" s="19" t="str">
        <f>IFERROR(_xlfn.XLOOKUP($I57,#REF!,#REF!,""),"")</f>
        <v/>
      </c>
      <c r="E57" s="23" t="str">
        <f>IFERROR(_xlfn.XLOOKUP($I57,#REF!,#REF!,""),"")</f>
        <v/>
      </c>
      <c r="F57" s="19" t="str">
        <f>IFERROR(_xlfn.XLOOKUP($I57,#REF!,#REF!,""),"")</f>
        <v/>
      </c>
      <c r="G57" s="19" t="str">
        <f>IFERROR(_xlfn.XLOOKUP($I57,#REF!,#REF!,""),"")</f>
        <v/>
      </c>
      <c r="H57" s="19" t="str">
        <f>IFERROR(_xlfn.XLOOKUP($I57,#REF!,#REF!,""),"")</f>
        <v/>
      </c>
      <c r="I57" s="77">
        <v>101288</v>
      </c>
      <c r="J57" s="12" t="str" cm="1">
        <f t="array" ref="J57">IFERROR(_xlfn.XLOOKUP($I57,#REF!,_xlfn.XLOOKUP(J$10,#REF!,#REF!,"",0,1),""),"")</f>
        <v/>
      </c>
      <c r="K57" s="12" t="str" cm="1">
        <f t="array" ref="K57">IFERROR(_xlfn.XLOOKUP($I57,#REF!,_xlfn.XLOOKUP(K$10,#REF!,#REF!,"",0,1),""),"")</f>
        <v/>
      </c>
      <c r="L57" s="12" t="str" cm="1">
        <f t="array" ref="L57">IFERROR(_xlfn.XLOOKUP($I57,#REF!,_xlfn.XLOOKUP(L$10,#REF!,#REF!,"",0,1),""),"")</f>
        <v/>
      </c>
      <c r="M57" s="36" t="str" cm="1">
        <f t="array" ref="M57">IFERROR(_xlfn.XLOOKUP($I57,#REF!,_xlfn.XLOOKUP(M$10,#REF!,#REF!,"",0,1),""),"")</f>
        <v/>
      </c>
      <c r="N57" s="37" t="str" cm="1">
        <f t="array" ref="N57">IFERROR(_xlfn.XLOOKUP($I57,#REF!,_xlfn.XLOOKUP(N$10,#REF!,#REF!,"",0,1),""),"")</f>
        <v/>
      </c>
      <c r="O57" s="12" t="str" cm="1">
        <f t="array" ref="O57">IFERROR(_xlfn.XLOOKUP($I57,#REF!,_xlfn.XLOOKUP(O$10,#REF!,#REF!,"",0,1),""),"")</f>
        <v/>
      </c>
      <c r="P57" s="12" t="str" cm="1">
        <f t="array" ref="P57">IFERROR(_xlfn.XLOOKUP($I57,#REF!,_xlfn.XLOOKUP(P$10,#REF!,#REF!,"",0,1),""),"")</f>
        <v/>
      </c>
      <c r="Q57" s="12" t="str" cm="1">
        <f t="array" ref="Q57">IFERROR(_xlfn.XLOOKUP($I57,#REF!,_xlfn.XLOOKUP(Q$10,#REF!,#REF!,"",0,1),""),"")</f>
        <v/>
      </c>
      <c r="R57" s="12" t="str" cm="1">
        <f t="array" ref="R57">IFERROR(_xlfn.XLOOKUP($I57,#REF!,_xlfn.XLOOKUP(R$10,#REF!,#REF!,"",0,1),""),"")</f>
        <v/>
      </c>
      <c r="S57" s="12" t="str">
        <f>IFERROR(_xlfn.XLOOKUP($I57,#REF!,#REF!,""),"")</f>
        <v/>
      </c>
      <c r="T57" s="12" t="str">
        <f>IFERROR(_xlfn.XLOOKUP($I57,#REF!,#REF!,""),"")</f>
        <v/>
      </c>
      <c r="U57" s="12" t="str">
        <f>IFERROR(_xlfn.XLOOKUP($I57,#REF!,#REF!,""),"")</f>
        <v/>
      </c>
      <c r="V57" s="12" t="str">
        <f>IFERROR(_xlfn.XLOOKUP($I57,#REF!,#REF!,""),"")</f>
        <v/>
      </c>
      <c r="W57" s="74" t="str" cm="1">
        <f t="array" ref="W57">IFERROR(_xlfn.XLOOKUP($I57,#REF!,_xlfn.XLOOKUP(W$10,#REF!,#REF!,"",0,1),""),"")</f>
        <v/>
      </c>
      <c r="X57" s="74" t="str" cm="1">
        <f t="array" ref="X57">IFERROR(_xlfn.XLOOKUP($I57,#REF!,_xlfn.XLOOKUP(X$10,#REF!,#REF!,"",0,1),""),"")</f>
        <v/>
      </c>
      <c r="Y57" s="74" t="str" cm="1">
        <f t="array" ref="Y57">IFERROR(_xlfn.XLOOKUP($I57,#REF!,_xlfn.XLOOKUP(Y$10,#REF!,#REF!,"",0,1),""),"")</f>
        <v/>
      </c>
      <c r="Z57" s="74" t="str" cm="1">
        <f t="array" ref="Z57">IFERROR(_xlfn.XLOOKUP($I57,#REF!,_xlfn.XLOOKUP(Z$10,#REF!,#REF!,"",0,1),""),"")</f>
        <v/>
      </c>
      <c r="AA57" s="74" t="str" cm="1">
        <f t="array" ref="AA57">IFERROR(_xlfn.XLOOKUP($I57,#REF!,_xlfn.XLOOKUP(AA$10,#REF!,#REF!,"",0,1),""),"")</f>
        <v/>
      </c>
      <c r="AB57" s="12" t="str" cm="1">
        <f t="array" ref="AB57">IFERROR(_xlfn.XLOOKUP($I57,#REF!,_xlfn.XLOOKUP(AB$10,#REF!,#REF!,"",0,1),""),"")</f>
        <v/>
      </c>
      <c r="AC57" s="52" t="str" cm="1">
        <f t="array" ref="AC57">IFERROR(_xlfn.XLOOKUP($I57,#REF!,_xlfn.XLOOKUP(AC$10,#REF!,#REF!,"",0,1),""),"")</f>
        <v/>
      </c>
      <c r="AD57" s="12" t="str" cm="1">
        <f t="array" ref="AD57">IFERROR(_xlfn.XLOOKUP($I57,#REF!,_xlfn.XLOOKUP(AD$10,#REF!,#REF!,"",0,1),""),"")</f>
        <v/>
      </c>
      <c r="AE57" s="12"/>
      <c r="AF57" s="12" t="str" cm="1">
        <f t="array" ref="AF57">IFERROR(_xlfn.XLOOKUP($I57,#REF!,_xlfn.XLOOKUP(AF$10,#REF!,#REF!,"",0,1),""),"")</f>
        <v/>
      </c>
      <c r="AG57" s="12" t="str" cm="1">
        <f t="array" ref="AG57">IFERROR(_xlfn.XLOOKUP($I57,#REF!,_xlfn.XLOOKUP(AG$10,#REF!,#REF!,"",0,1),""),"")</f>
        <v/>
      </c>
      <c r="AH57" s="12" t="str" cm="1">
        <f t="array" ref="AH57">IFERROR(_xlfn.XLOOKUP($I57,#REF!,_xlfn.XLOOKUP(AH$10,#REF!,#REF!,"",0,1),""),"")</f>
        <v/>
      </c>
      <c r="AI57" s="12" t="str" cm="1">
        <f t="array" ref="AI57">IFERROR(_xlfn.XLOOKUP($I57,#REF!,_xlfn.XLOOKUP(AI$10,#REF!,#REF!,"",0,1),""),"")</f>
        <v/>
      </c>
      <c r="AJ57" s="12"/>
      <c r="AK57" s="12"/>
      <c r="AL57" s="11" t="str" cm="1">
        <f t="array" ref="AL57">IFERROR(_xlfn.XLOOKUP($I57,#REF!,_xlfn.XLOOKUP(AL$10,#REF!,#REF!,"",0,1),""),"")</f>
        <v/>
      </c>
      <c r="AM57" s="11" t="str" cm="1">
        <f t="array" ref="AM57">IFERROR(_xlfn.XLOOKUP($I57,#REF!,_xlfn.XLOOKUP(AM$10,#REF!,#REF!,"",0,1),""),"")</f>
        <v/>
      </c>
      <c r="AN57" s="11" t="str" cm="1">
        <f t="array" ref="AN57">IFERROR(_xlfn.XLOOKUP($I57,#REF!,_xlfn.XLOOKUP(AN$10,#REF!,#REF!,"",0,1),""),"")</f>
        <v/>
      </c>
      <c r="AO57" s="11" t="str" cm="1">
        <f t="array" ref="AO57">IFERROR(_xlfn.XLOOKUP($I57,#REF!,_xlfn.XLOOKUP(AO$10,#REF!,#REF!,"",0,1),""),"")</f>
        <v/>
      </c>
      <c r="AP57" s="11" t="str" cm="1">
        <f t="array" ref="AP57">IFERROR(_xlfn.XLOOKUP($I57,#REF!,_xlfn.XLOOKUP(AP$10,#REF!,#REF!,"",0,1),""),"")</f>
        <v/>
      </c>
      <c r="AQ57" s="11" t="str" cm="1">
        <f t="array" ref="AQ57">IFERROR(_xlfn.XLOOKUP($I57,#REF!,_xlfn.XLOOKUP(AQ$10,#REF!,#REF!,"",0,1),""),"")</f>
        <v/>
      </c>
      <c r="AR57" s="12" t="str" cm="1">
        <f t="array" ref="AR57">IFERROR(_xlfn.XLOOKUP($I57,#REF!,_xlfn.XLOOKUP(AR$10,#REF!,#REF!,"",0,1),""),"")</f>
        <v/>
      </c>
      <c r="AS57" s="12" t="str" cm="1">
        <f t="array" ref="AS57">IFERROR(_xlfn.XLOOKUP($I57,#REF!,_xlfn.XLOOKUP(AS$10,#REF!,#REF!,"",0,1),""),"")</f>
        <v/>
      </c>
      <c r="AT57" s="12" t="str" cm="1">
        <f t="array" ref="AT57">IFERROR(_xlfn.XLOOKUP($I57,#REF!,_xlfn.XLOOKUP(AT$10,#REF!,#REF!,"",0,1),""),"")</f>
        <v/>
      </c>
      <c r="AU57" s="12" t="str" cm="1">
        <f t="array" ref="AU57">IFERROR(_xlfn.XLOOKUP($I57,#REF!,_xlfn.XLOOKUP(AU$10,#REF!,#REF!,"",0,1),""),"")</f>
        <v/>
      </c>
      <c r="AV57" s="12" t="str" cm="1">
        <f t="array" ref="AV57">IFERROR(_xlfn.XLOOKUP($I57,#REF!,_xlfn.XLOOKUP(AV$10,#REF!,#REF!,"",0,1),""),"")</f>
        <v/>
      </c>
      <c r="AW57" s="12" t="str">
        <f>IFERROR(_xlfn.XLOOKUP($I57,#REF!,#REF!,""),"")</f>
        <v/>
      </c>
      <c r="AX57" s="12" t="str">
        <f>IFERROR(_xlfn.XLOOKUP($I57,#REF!,#REF!,""),"")</f>
        <v/>
      </c>
      <c r="AY57" s="12" t="str">
        <f>IFERROR(_xlfn.XLOOKUP($I57,#REF!,#REF!,""),"")</f>
        <v/>
      </c>
      <c r="AZ57" s="11" t="str" cm="1">
        <f t="array" ref="AZ57">IFERROR(_xlfn.XLOOKUP($I57,#REF!,_xlfn.XLOOKUP(AZ$10,#REF!,#REF!,"",0,1),""),"")</f>
        <v/>
      </c>
      <c r="BA57" s="11" t="str" cm="1">
        <f t="array" ref="BA57">IFERROR(_xlfn.XLOOKUP($I57,#REF!,_xlfn.XLOOKUP(BA$10,#REF!,#REF!,"",0,1),""),"")</f>
        <v/>
      </c>
      <c r="BB57" s="11" t="str">
        <f>IFERROR(_xlfn.XLOOKUP($I57,#REF!,#REF!,""),"")</f>
        <v/>
      </c>
      <c r="BC57" s="11" t="str">
        <f>IFERROR(_xlfn.XLOOKUP($I57,#REF!,#REF!,""),"")</f>
        <v/>
      </c>
      <c r="BD57" s="12" t="str" cm="1">
        <f t="array" ref="BD57">IFERROR(_xlfn.XLOOKUP($I57,#REF!,_xlfn.XLOOKUP(BD$10,#REF!,#REF!,"",0,1),""),"")</f>
        <v/>
      </c>
      <c r="BE57" s="12" t="str" cm="1">
        <f t="array" ref="BE57">IFERROR(_xlfn.XLOOKUP($I57,#REF!,_xlfn.XLOOKUP(BE$10,#REF!,#REF!,"",0,1),""),"")</f>
        <v/>
      </c>
      <c r="BF57" s="12" t="str" cm="1">
        <f t="array" ref="BF57">IFERROR(_xlfn.XLOOKUP($I57,#REF!,_xlfn.XLOOKUP(BF$10,#REF!,#REF!,"",0,1),""),"")</f>
        <v/>
      </c>
      <c r="BG57" s="12" t="str" cm="1">
        <f t="array" ref="BG57">IFERROR(_xlfn.XLOOKUP($I57,#REF!,_xlfn.XLOOKUP(BG$10,#REF!,#REF!,"",0,1),""),"")</f>
        <v/>
      </c>
      <c r="BH57" s="12" t="str" cm="1">
        <f t="array" ref="BH57">IFERROR(_xlfn.XLOOKUP($I57,#REF!,_xlfn.XLOOKUP(BH$10,#REF!,#REF!,"",0,1),""),"")</f>
        <v/>
      </c>
      <c r="BI57" s="12" t="str" cm="1">
        <f t="array" ref="BI57">IFERROR(_xlfn.XLOOKUP($I57,#REF!,_xlfn.XLOOKUP(BI$10,#REF!,#REF!,"",0,1),""),"")</f>
        <v/>
      </c>
      <c r="BJ57" s="12" t="str" cm="1">
        <f t="array" ref="BJ57">IFERROR(_xlfn.XLOOKUP($I57,#REF!,_xlfn.XLOOKUP(BJ$10,#REF!,#REF!,"",0,1),""),"")</f>
        <v/>
      </c>
      <c r="BK57" s="12" t="str" cm="1">
        <f t="array" ref="BK57">IFERROR(_xlfn.XLOOKUP($I57,#REF!,_xlfn.XLOOKUP(BK$10,#REF!,#REF!,"",0,1),""),"")</f>
        <v/>
      </c>
      <c r="BL57" s="12" t="str" cm="1">
        <f t="array" ref="BL57">IFERROR(_xlfn.XLOOKUP($I57,#REF!,_xlfn.XLOOKUP(BL$10,#REF!,#REF!,"",0,1),""),"")</f>
        <v/>
      </c>
      <c r="BM57" s="12" t="str">
        <f>IFERROR(_xlfn.XLOOKUP($I57,#REF!,#REF!,""),"")</f>
        <v/>
      </c>
      <c r="BN57" s="12" t="str">
        <f>IFERROR(_xlfn.XLOOKUP($I57,#REF!,#REF!,""),"")</f>
        <v/>
      </c>
      <c r="BO57" s="12" t="str">
        <f>IFERROR(_xlfn.XLOOKUP($I57,#REF!,#REF!,""),"")</f>
        <v/>
      </c>
      <c r="BP57" s="12" t="str" cm="1">
        <f t="array" ref="BP57">IFERROR(_xlfn.XLOOKUP($I57,#REF!,_xlfn.XLOOKUP(BP$10,#REF!,#REF!,"",0,1),""),"")</f>
        <v/>
      </c>
      <c r="BQ57" s="12" t="str">
        <f>IFERROR(_xlfn.XLOOKUP($I57,#REF!,#REF!,""),"")</f>
        <v/>
      </c>
      <c r="BR57" s="12" t="str">
        <f>IFERROR(_xlfn.XLOOKUP($I57,#REF!,#REF!,""),"")</f>
        <v/>
      </c>
      <c r="BS57" s="12" t="str">
        <f>IFERROR(_xlfn.XLOOKUP($I57,#REF!,#REF!,""),"")</f>
        <v/>
      </c>
      <c r="BT57" s="11" t="str">
        <f>IFERROR(_xlfn.XLOOKUP($I57,#REF!,#REF!,""),"")</f>
        <v/>
      </c>
      <c r="BU57" s="11" t="str">
        <f>IFERROR(_xlfn.XLOOKUP($I57,#REF!,#REF!,""),"")</f>
        <v/>
      </c>
      <c r="BV57" s="32" t="str">
        <f>IFERROR(_xlfn.XLOOKUP($I57,#REF!,#REF!,""),"")</f>
        <v/>
      </c>
      <c r="BW57" s="12" t="str">
        <f>IFERROR(_xlfn.XLOOKUP($I57,#REF!,#REF!,""),"")</f>
        <v/>
      </c>
    </row>
    <row r="58" spans="3:75" ht="69.599999999999994" customHeight="1" x14ac:dyDescent="0.3">
      <c r="C58" s="22" t="str">
        <f>IFERROR(_xlfn.XLOOKUP($I58,#REF!,#REF!,""),"")</f>
        <v/>
      </c>
      <c r="D58" s="19" t="str">
        <f>IFERROR(_xlfn.XLOOKUP($I58,#REF!,#REF!,""),"")</f>
        <v/>
      </c>
      <c r="E58" s="23" t="str">
        <f>IFERROR(_xlfn.XLOOKUP($I58,#REF!,#REF!,""),"")</f>
        <v/>
      </c>
      <c r="F58" s="19" t="str">
        <f>IFERROR(_xlfn.XLOOKUP($I58,#REF!,#REF!,""),"")</f>
        <v/>
      </c>
      <c r="G58" s="19" t="str">
        <f>IFERROR(_xlfn.XLOOKUP($I58,#REF!,#REF!,""),"")</f>
        <v/>
      </c>
      <c r="H58" s="19" t="str">
        <f>IFERROR(_xlfn.XLOOKUP($I58,#REF!,#REF!,""),"")</f>
        <v/>
      </c>
      <c r="I58" s="77">
        <v>91502</v>
      </c>
      <c r="J58" s="12" t="str" cm="1">
        <f t="array" ref="J58">IFERROR(_xlfn.XLOOKUP($I58,#REF!,_xlfn.XLOOKUP(J$10,#REF!,#REF!,"",0,1),""),"")</f>
        <v/>
      </c>
      <c r="K58" s="12" t="str" cm="1">
        <f t="array" ref="K58">IFERROR(_xlfn.XLOOKUP($I58,#REF!,_xlfn.XLOOKUP(K$10,#REF!,#REF!,"",0,1),""),"")</f>
        <v/>
      </c>
      <c r="L58" s="12" t="str" cm="1">
        <f t="array" ref="L58">IFERROR(_xlfn.XLOOKUP($I58,#REF!,_xlfn.XLOOKUP(L$10,#REF!,#REF!,"",0,1),""),"")</f>
        <v/>
      </c>
      <c r="M58" s="36" t="str" cm="1">
        <f t="array" ref="M58">IFERROR(_xlfn.XLOOKUP($I58,#REF!,_xlfn.XLOOKUP(M$10,#REF!,#REF!,"",0,1),""),"")</f>
        <v/>
      </c>
      <c r="N58" s="37" t="str" cm="1">
        <f t="array" ref="N58">IFERROR(_xlfn.XLOOKUP($I58,#REF!,_xlfn.XLOOKUP(N$10,#REF!,#REF!,"",0,1),""),"")</f>
        <v/>
      </c>
      <c r="O58" s="12" t="str" cm="1">
        <f t="array" ref="O58">IFERROR(_xlfn.XLOOKUP($I58,#REF!,_xlfn.XLOOKUP(O$10,#REF!,#REF!,"",0,1),""),"")</f>
        <v/>
      </c>
      <c r="P58" s="12" t="str" cm="1">
        <f t="array" ref="P58">IFERROR(_xlfn.XLOOKUP($I58,#REF!,_xlfn.XLOOKUP(P$10,#REF!,#REF!,"",0,1),""),"")</f>
        <v/>
      </c>
      <c r="Q58" s="12" t="str" cm="1">
        <f t="array" ref="Q58">IFERROR(_xlfn.XLOOKUP($I58,#REF!,_xlfn.XLOOKUP(Q$10,#REF!,#REF!,"",0,1),""),"")</f>
        <v/>
      </c>
      <c r="R58" s="12" t="str" cm="1">
        <f t="array" ref="R58">IFERROR(_xlfn.XLOOKUP($I58,#REF!,_xlfn.XLOOKUP(R$10,#REF!,#REF!,"",0,1),""),"")</f>
        <v/>
      </c>
      <c r="S58" s="12" t="str">
        <f>IFERROR(_xlfn.XLOOKUP($I58,#REF!,#REF!,""),"")</f>
        <v/>
      </c>
      <c r="T58" s="12" t="str">
        <f>IFERROR(_xlfn.XLOOKUP($I58,#REF!,#REF!,""),"")</f>
        <v/>
      </c>
      <c r="U58" s="12" t="str">
        <f>IFERROR(_xlfn.XLOOKUP($I58,#REF!,#REF!,""),"")</f>
        <v/>
      </c>
      <c r="V58" s="12" t="str">
        <f>IFERROR(_xlfn.XLOOKUP($I58,#REF!,#REF!,""),"")</f>
        <v/>
      </c>
      <c r="W58" s="74" t="str" cm="1">
        <f t="array" ref="W58">IFERROR(_xlfn.XLOOKUP($I58,#REF!,_xlfn.XLOOKUP(W$10,#REF!,#REF!,"",0,1),""),"")</f>
        <v/>
      </c>
      <c r="X58" s="74" t="str" cm="1">
        <f t="array" ref="X58">IFERROR(_xlfn.XLOOKUP($I58,#REF!,_xlfn.XLOOKUP(X$10,#REF!,#REF!,"",0,1),""),"")</f>
        <v/>
      </c>
      <c r="Y58" s="74" t="str" cm="1">
        <f t="array" ref="Y58">IFERROR(_xlfn.XLOOKUP($I58,#REF!,_xlfn.XLOOKUP(Y$10,#REF!,#REF!,"",0,1),""),"")</f>
        <v/>
      </c>
      <c r="Z58" s="74" t="str" cm="1">
        <f t="array" ref="Z58">IFERROR(_xlfn.XLOOKUP($I58,#REF!,_xlfn.XLOOKUP(Z$10,#REF!,#REF!,"",0,1),""),"")</f>
        <v/>
      </c>
      <c r="AA58" s="74" t="str" cm="1">
        <f t="array" ref="AA58">IFERROR(_xlfn.XLOOKUP($I58,#REF!,_xlfn.XLOOKUP(AA$10,#REF!,#REF!,"",0,1),""),"")</f>
        <v/>
      </c>
      <c r="AB58" s="12" t="str" cm="1">
        <f t="array" ref="AB58">IFERROR(_xlfn.XLOOKUP($I58,#REF!,_xlfn.XLOOKUP(AB$10,#REF!,#REF!,"",0,1),""),"")</f>
        <v/>
      </c>
      <c r="AC58" s="52" t="str" cm="1">
        <f t="array" ref="AC58">IFERROR(_xlfn.XLOOKUP($I58,#REF!,_xlfn.XLOOKUP(AC$10,#REF!,#REF!,"",0,1),""),"")</f>
        <v/>
      </c>
      <c r="AD58" s="12" t="str" cm="1">
        <f t="array" ref="AD58">IFERROR(_xlfn.XLOOKUP($I58,#REF!,_xlfn.XLOOKUP(AD$10,#REF!,#REF!,"",0,1),""),"")</f>
        <v/>
      </c>
      <c r="AE58" s="12"/>
      <c r="AF58" s="12" t="str" cm="1">
        <f t="array" ref="AF58">IFERROR(_xlfn.XLOOKUP($I58,#REF!,_xlfn.XLOOKUP(AF$10,#REF!,#REF!,"",0,1),""),"")</f>
        <v/>
      </c>
      <c r="AG58" s="12" t="str" cm="1">
        <f t="array" ref="AG58">IFERROR(_xlfn.XLOOKUP($I58,#REF!,_xlfn.XLOOKUP(AG$10,#REF!,#REF!,"",0,1),""),"")</f>
        <v/>
      </c>
      <c r="AH58" s="12" t="str" cm="1">
        <f t="array" ref="AH58">IFERROR(_xlfn.XLOOKUP($I58,#REF!,_xlfn.XLOOKUP(AH$10,#REF!,#REF!,"",0,1),""),"")</f>
        <v/>
      </c>
      <c r="AI58" s="12" t="str" cm="1">
        <f t="array" ref="AI58">IFERROR(_xlfn.XLOOKUP($I58,#REF!,_xlfn.XLOOKUP(AI$10,#REF!,#REF!,"",0,1),""),"")</f>
        <v/>
      </c>
      <c r="AJ58" s="12"/>
      <c r="AK58" s="12"/>
      <c r="AL58" s="11" t="str" cm="1">
        <f t="array" ref="AL58">IFERROR(_xlfn.XLOOKUP($I58,#REF!,_xlfn.XLOOKUP(AL$10,#REF!,#REF!,"",0,1),""),"")</f>
        <v/>
      </c>
      <c r="AM58" s="11" t="str" cm="1">
        <f t="array" ref="AM58">IFERROR(_xlfn.XLOOKUP($I58,#REF!,_xlfn.XLOOKUP(AM$10,#REF!,#REF!,"",0,1),""),"")</f>
        <v/>
      </c>
      <c r="AN58" s="11" t="str" cm="1">
        <f t="array" ref="AN58">IFERROR(_xlfn.XLOOKUP($I58,#REF!,_xlfn.XLOOKUP(AN$10,#REF!,#REF!,"",0,1),""),"")</f>
        <v/>
      </c>
      <c r="AO58" s="11" t="str" cm="1">
        <f t="array" ref="AO58">IFERROR(_xlfn.XLOOKUP($I58,#REF!,_xlfn.XLOOKUP(AO$10,#REF!,#REF!,"",0,1),""),"")</f>
        <v/>
      </c>
      <c r="AP58" s="11" t="str" cm="1">
        <f t="array" ref="AP58">IFERROR(_xlfn.XLOOKUP($I58,#REF!,_xlfn.XLOOKUP(AP$10,#REF!,#REF!,"",0,1),""),"")</f>
        <v/>
      </c>
      <c r="AQ58" s="11" t="str" cm="1">
        <f t="array" ref="AQ58">IFERROR(_xlfn.XLOOKUP($I58,#REF!,_xlfn.XLOOKUP(AQ$10,#REF!,#REF!,"",0,1),""),"")</f>
        <v/>
      </c>
      <c r="AR58" s="12" t="str" cm="1">
        <f t="array" ref="AR58">IFERROR(_xlfn.XLOOKUP($I58,#REF!,_xlfn.XLOOKUP(AR$10,#REF!,#REF!,"",0,1),""),"")</f>
        <v/>
      </c>
      <c r="AS58" s="12" t="str" cm="1">
        <f t="array" ref="AS58">IFERROR(_xlfn.XLOOKUP($I58,#REF!,_xlfn.XLOOKUP(AS$10,#REF!,#REF!,"",0,1),""),"")</f>
        <v/>
      </c>
      <c r="AT58" s="12" t="str" cm="1">
        <f t="array" ref="AT58">IFERROR(_xlfn.XLOOKUP($I58,#REF!,_xlfn.XLOOKUP(AT$10,#REF!,#REF!,"",0,1),""),"")</f>
        <v/>
      </c>
      <c r="AU58" s="12" t="str" cm="1">
        <f t="array" ref="AU58">IFERROR(_xlfn.XLOOKUP($I58,#REF!,_xlfn.XLOOKUP(AU$10,#REF!,#REF!,"",0,1),""),"")</f>
        <v/>
      </c>
      <c r="AV58" s="12" t="str" cm="1">
        <f t="array" ref="AV58">IFERROR(_xlfn.XLOOKUP($I58,#REF!,_xlfn.XLOOKUP(AV$10,#REF!,#REF!,"",0,1),""),"")</f>
        <v/>
      </c>
      <c r="AW58" s="12" t="str">
        <f>IFERROR(_xlfn.XLOOKUP($I58,#REF!,#REF!,""),"")</f>
        <v/>
      </c>
      <c r="AX58" s="12" t="str">
        <f>IFERROR(_xlfn.XLOOKUP($I58,#REF!,#REF!,""),"")</f>
        <v/>
      </c>
      <c r="AY58" s="12" t="str">
        <f>IFERROR(_xlfn.XLOOKUP($I58,#REF!,#REF!,""),"")</f>
        <v/>
      </c>
      <c r="AZ58" s="11" t="str" cm="1">
        <f t="array" ref="AZ58">IFERROR(_xlfn.XLOOKUP($I58,#REF!,_xlfn.XLOOKUP(AZ$10,#REF!,#REF!,"",0,1),""),"")</f>
        <v/>
      </c>
      <c r="BA58" s="11" t="str" cm="1">
        <f t="array" ref="BA58">IFERROR(_xlfn.XLOOKUP($I58,#REF!,_xlfn.XLOOKUP(BA$10,#REF!,#REF!,"",0,1),""),"")</f>
        <v/>
      </c>
      <c r="BB58" s="11" t="str">
        <f>IFERROR(_xlfn.XLOOKUP($I58,#REF!,#REF!,""),"")</f>
        <v/>
      </c>
      <c r="BC58" s="11" t="str">
        <f>IFERROR(_xlfn.XLOOKUP($I58,#REF!,#REF!,""),"")</f>
        <v/>
      </c>
      <c r="BD58" s="12" t="str" cm="1">
        <f t="array" ref="BD58">IFERROR(_xlfn.XLOOKUP($I58,#REF!,_xlfn.XLOOKUP(BD$10,#REF!,#REF!,"",0,1),""),"")</f>
        <v/>
      </c>
      <c r="BE58" s="12" t="str" cm="1">
        <f t="array" ref="BE58">IFERROR(_xlfn.XLOOKUP($I58,#REF!,_xlfn.XLOOKUP(BE$10,#REF!,#REF!,"",0,1),""),"")</f>
        <v/>
      </c>
      <c r="BF58" s="12" t="str" cm="1">
        <f t="array" ref="BF58">IFERROR(_xlfn.XLOOKUP($I58,#REF!,_xlfn.XLOOKUP(BF$10,#REF!,#REF!,"",0,1),""),"")</f>
        <v/>
      </c>
      <c r="BG58" s="12" t="str" cm="1">
        <f t="array" ref="BG58">IFERROR(_xlfn.XLOOKUP($I58,#REF!,_xlfn.XLOOKUP(BG$10,#REF!,#REF!,"",0,1),""),"")</f>
        <v/>
      </c>
      <c r="BH58" s="12" t="str" cm="1">
        <f t="array" ref="BH58">IFERROR(_xlfn.XLOOKUP($I58,#REF!,_xlfn.XLOOKUP(BH$10,#REF!,#REF!,"",0,1),""),"")</f>
        <v/>
      </c>
      <c r="BI58" s="12" t="str" cm="1">
        <f t="array" ref="BI58">IFERROR(_xlfn.XLOOKUP($I58,#REF!,_xlfn.XLOOKUP(BI$10,#REF!,#REF!,"",0,1),""),"")</f>
        <v/>
      </c>
      <c r="BJ58" s="12" t="str" cm="1">
        <f t="array" ref="BJ58">IFERROR(_xlfn.XLOOKUP($I58,#REF!,_xlfn.XLOOKUP(BJ$10,#REF!,#REF!,"",0,1),""),"")</f>
        <v/>
      </c>
      <c r="BK58" s="12" t="str" cm="1">
        <f t="array" ref="BK58">IFERROR(_xlfn.XLOOKUP($I58,#REF!,_xlfn.XLOOKUP(BK$10,#REF!,#REF!,"",0,1),""),"")</f>
        <v/>
      </c>
      <c r="BL58" s="12" t="str" cm="1">
        <f t="array" ref="BL58">IFERROR(_xlfn.XLOOKUP($I58,#REF!,_xlfn.XLOOKUP(BL$10,#REF!,#REF!,"",0,1),""),"")</f>
        <v/>
      </c>
      <c r="BM58" s="12" t="str">
        <f>IFERROR(_xlfn.XLOOKUP($I58,#REF!,#REF!,""),"")</f>
        <v/>
      </c>
      <c r="BN58" s="12" t="str">
        <f>IFERROR(_xlfn.XLOOKUP($I58,#REF!,#REF!,""),"")</f>
        <v/>
      </c>
      <c r="BO58" s="12" t="str">
        <f>IFERROR(_xlfn.XLOOKUP($I58,#REF!,#REF!,""),"")</f>
        <v/>
      </c>
      <c r="BP58" s="12" t="str" cm="1">
        <f t="array" ref="BP58">IFERROR(_xlfn.XLOOKUP($I58,#REF!,_xlfn.XLOOKUP(BP$10,#REF!,#REF!,"",0,1),""),"")</f>
        <v/>
      </c>
      <c r="BQ58" s="12" t="str">
        <f>IFERROR(_xlfn.XLOOKUP($I58,#REF!,#REF!,""),"")</f>
        <v/>
      </c>
      <c r="BR58" s="12" t="str">
        <f>IFERROR(_xlfn.XLOOKUP($I58,#REF!,#REF!,""),"")</f>
        <v/>
      </c>
      <c r="BS58" s="12" t="str">
        <f>IFERROR(_xlfn.XLOOKUP($I58,#REF!,#REF!,""),"")</f>
        <v/>
      </c>
      <c r="BT58" s="11" t="str">
        <f>IFERROR(_xlfn.XLOOKUP($I58,#REF!,#REF!,""),"")</f>
        <v/>
      </c>
      <c r="BU58" s="11" t="str">
        <f>IFERROR(_xlfn.XLOOKUP($I58,#REF!,#REF!,""),"")</f>
        <v/>
      </c>
      <c r="BV58" s="32" t="str">
        <f>IFERROR(_xlfn.XLOOKUP($I58,#REF!,#REF!,""),"")</f>
        <v/>
      </c>
      <c r="BW58" s="12" t="str">
        <f>IFERROR(_xlfn.XLOOKUP($I58,#REF!,#REF!,""),"")</f>
        <v/>
      </c>
    </row>
    <row r="59" spans="3:75" ht="52.35" customHeight="1" x14ac:dyDescent="0.3">
      <c r="C59" s="22" t="str">
        <f>IFERROR(_xlfn.XLOOKUP($I59,#REF!,#REF!,""),"")</f>
        <v/>
      </c>
      <c r="D59" s="19" t="str">
        <f>IFERROR(_xlfn.XLOOKUP($I59,#REF!,#REF!,""),"")</f>
        <v/>
      </c>
      <c r="E59" s="23" t="str">
        <f>IFERROR(_xlfn.XLOOKUP($I59,#REF!,#REF!,""),"")</f>
        <v/>
      </c>
      <c r="F59" s="19" t="str">
        <f>IFERROR(_xlfn.XLOOKUP($I59,#REF!,#REF!,""),"")</f>
        <v/>
      </c>
      <c r="G59" s="19" t="str">
        <f>IFERROR(_xlfn.XLOOKUP($I59,#REF!,#REF!,""),"")</f>
        <v/>
      </c>
      <c r="H59" s="19" t="str">
        <f>IFERROR(_xlfn.XLOOKUP($I59,#REF!,#REF!,""),"")</f>
        <v/>
      </c>
      <c r="I59" s="77">
        <v>107852</v>
      </c>
      <c r="J59" s="12" t="str" cm="1">
        <f t="array" ref="J59">IFERROR(_xlfn.XLOOKUP($I59,#REF!,_xlfn.XLOOKUP(J$10,#REF!,#REF!,"",0,1),""),"")</f>
        <v/>
      </c>
      <c r="K59" s="12" t="str" cm="1">
        <f t="array" ref="K59">IFERROR(_xlfn.XLOOKUP($I59,#REF!,_xlfn.XLOOKUP(K$10,#REF!,#REF!,"",0,1),""),"")</f>
        <v/>
      </c>
      <c r="L59" s="12" t="str" cm="1">
        <f t="array" ref="L59">IFERROR(_xlfn.XLOOKUP($I59,#REF!,_xlfn.XLOOKUP(L$10,#REF!,#REF!,"",0,1),""),"")</f>
        <v/>
      </c>
      <c r="M59" s="36" t="str" cm="1">
        <f t="array" ref="M59">IFERROR(_xlfn.XLOOKUP($I59,#REF!,_xlfn.XLOOKUP(M$10,#REF!,#REF!,"",0,1),""),"")</f>
        <v/>
      </c>
      <c r="N59" s="37" t="str" cm="1">
        <f t="array" ref="N59">IFERROR(_xlfn.XLOOKUP($I59,#REF!,_xlfn.XLOOKUP(N$10,#REF!,#REF!,"",0,1),""),"")</f>
        <v/>
      </c>
      <c r="O59" s="12" t="str" cm="1">
        <f t="array" ref="O59">IFERROR(_xlfn.XLOOKUP($I59,#REF!,_xlfn.XLOOKUP(O$10,#REF!,#REF!,"",0,1),""),"")</f>
        <v/>
      </c>
      <c r="P59" s="12" t="str" cm="1">
        <f t="array" ref="P59">IFERROR(_xlfn.XLOOKUP($I59,#REF!,_xlfn.XLOOKUP(P$10,#REF!,#REF!,"",0,1),""),"")</f>
        <v/>
      </c>
      <c r="Q59" s="12" t="str" cm="1">
        <f t="array" ref="Q59">IFERROR(_xlfn.XLOOKUP($I59,#REF!,_xlfn.XLOOKUP(Q$10,#REF!,#REF!,"",0,1),""),"")</f>
        <v/>
      </c>
      <c r="R59" s="12" t="str" cm="1">
        <f t="array" ref="R59">IFERROR(_xlfn.XLOOKUP($I59,#REF!,_xlfn.XLOOKUP(R$10,#REF!,#REF!,"",0,1),""),"")</f>
        <v/>
      </c>
      <c r="S59" s="12" t="str">
        <f>IFERROR(_xlfn.XLOOKUP($I59,#REF!,#REF!,""),"")</f>
        <v/>
      </c>
      <c r="T59" s="12" t="str">
        <f>IFERROR(_xlfn.XLOOKUP($I59,#REF!,#REF!,""),"")</f>
        <v/>
      </c>
      <c r="U59" s="12" t="str">
        <f>IFERROR(_xlfn.XLOOKUP($I59,#REF!,#REF!,""),"")</f>
        <v/>
      </c>
      <c r="V59" s="12" t="str">
        <f>IFERROR(_xlfn.XLOOKUP($I59,#REF!,#REF!,""),"")</f>
        <v/>
      </c>
      <c r="W59" s="74" t="str" cm="1">
        <f t="array" ref="W59">IFERROR(_xlfn.XLOOKUP($I59,#REF!,_xlfn.XLOOKUP(W$10,#REF!,#REF!,"",0,1),""),"")</f>
        <v/>
      </c>
      <c r="X59" s="74" t="str" cm="1">
        <f t="array" ref="X59">IFERROR(_xlfn.XLOOKUP($I59,#REF!,_xlfn.XLOOKUP(X$10,#REF!,#REF!,"",0,1),""),"")</f>
        <v/>
      </c>
      <c r="Y59" s="74" t="str" cm="1">
        <f t="array" ref="Y59">IFERROR(_xlfn.XLOOKUP($I59,#REF!,_xlfn.XLOOKUP(Y$10,#REF!,#REF!,"",0,1),""),"")</f>
        <v/>
      </c>
      <c r="Z59" s="74" t="str" cm="1">
        <f t="array" ref="Z59">IFERROR(_xlfn.XLOOKUP($I59,#REF!,_xlfn.XLOOKUP(Z$10,#REF!,#REF!,"",0,1),""),"")</f>
        <v/>
      </c>
      <c r="AA59" s="74" t="str" cm="1">
        <f t="array" ref="AA59">IFERROR(_xlfn.XLOOKUP($I59,#REF!,_xlfn.XLOOKUP(AA$10,#REF!,#REF!,"",0,1),""),"")</f>
        <v/>
      </c>
      <c r="AB59" s="12" t="str" cm="1">
        <f t="array" ref="AB59">IFERROR(_xlfn.XLOOKUP($I59,#REF!,_xlfn.XLOOKUP(AB$10,#REF!,#REF!,"",0,1),""),"")</f>
        <v/>
      </c>
      <c r="AC59" s="52" t="str" cm="1">
        <f t="array" ref="AC59">IFERROR(_xlfn.XLOOKUP($I59,#REF!,_xlfn.XLOOKUP(AC$10,#REF!,#REF!,"",0,1),""),"")</f>
        <v/>
      </c>
      <c r="AD59" s="12" t="str" cm="1">
        <f t="array" ref="AD59">IFERROR(_xlfn.XLOOKUP($I59,#REF!,_xlfn.XLOOKUP(AD$10,#REF!,#REF!,"",0,1),""),"")</f>
        <v/>
      </c>
      <c r="AE59" s="12"/>
      <c r="AF59" s="12" t="str" cm="1">
        <f t="array" ref="AF59">IFERROR(_xlfn.XLOOKUP($I59,#REF!,_xlfn.XLOOKUP(AF$10,#REF!,#REF!,"",0,1),""),"")</f>
        <v/>
      </c>
      <c r="AG59" s="12" t="str" cm="1">
        <f t="array" ref="AG59">IFERROR(_xlfn.XLOOKUP($I59,#REF!,_xlfn.XLOOKUP(AG$10,#REF!,#REF!,"",0,1),""),"")</f>
        <v/>
      </c>
      <c r="AH59" s="12" t="str" cm="1">
        <f t="array" ref="AH59">IFERROR(_xlfn.XLOOKUP($I59,#REF!,_xlfn.XLOOKUP(AH$10,#REF!,#REF!,"",0,1),""),"")</f>
        <v/>
      </c>
      <c r="AI59" s="12" t="str" cm="1">
        <f t="array" ref="AI59">IFERROR(_xlfn.XLOOKUP($I59,#REF!,_xlfn.XLOOKUP(AI$10,#REF!,#REF!,"",0,1),""),"")</f>
        <v/>
      </c>
      <c r="AJ59" s="12"/>
      <c r="AK59" s="12"/>
      <c r="AL59" s="11" t="str" cm="1">
        <f t="array" ref="AL59">IFERROR(_xlfn.XLOOKUP($I59,#REF!,_xlfn.XLOOKUP(AL$10,#REF!,#REF!,"",0,1),""),"")</f>
        <v/>
      </c>
      <c r="AM59" s="11" t="str" cm="1">
        <f t="array" ref="AM59">IFERROR(_xlfn.XLOOKUP($I59,#REF!,_xlfn.XLOOKUP(AM$10,#REF!,#REF!,"",0,1),""),"")</f>
        <v/>
      </c>
      <c r="AN59" s="11" t="str" cm="1">
        <f t="array" ref="AN59">IFERROR(_xlfn.XLOOKUP($I59,#REF!,_xlfn.XLOOKUP(AN$10,#REF!,#REF!,"",0,1),""),"")</f>
        <v/>
      </c>
      <c r="AO59" s="11" t="str" cm="1">
        <f t="array" ref="AO59">IFERROR(_xlfn.XLOOKUP($I59,#REF!,_xlfn.XLOOKUP(AO$10,#REF!,#REF!,"",0,1),""),"")</f>
        <v/>
      </c>
      <c r="AP59" s="11" t="str" cm="1">
        <f t="array" ref="AP59">IFERROR(_xlfn.XLOOKUP($I59,#REF!,_xlfn.XLOOKUP(AP$10,#REF!,#REF!,"",0,1),""),"")</f>
        <v/>
      </c>
      <c r="AQ59" s="11" t="str" cm="1">
        <f t="array" ref="AQ59">IFERROR(_xlfn.XLOOKUP($I59,#REF!,_xlfn.XLOOKUP(AQ$10,#REF!,#REF!,"",0,1),""),"")</f>
        <v/>
      </c>
      <c r="AR59" s="12" t="str" cm="1">
        <f t="array" ref="AR59">IFERROR(_xlfn.XLOOKUP($I59,#REF!,_xlfn.XLOOKUP(AR$10,#REF!,#REF!,"",0,1),""),"")</f>
        <v/>
      </c>
      <c r="AS59" s="12" t="str" cm="1">
        <f t="array" ref="AS59">IFERROR(_xlfn.XLOOKUP($I59,#REF!,_xlfn.XLOOKUP(AS$10,#REF!,#REF!,"",0,1),""),"")</f>
        <v/>
      </c>
      <c r="AT59" s="12" t="str" cm="1">
        <f t="array" ref="AT59">IFERROR(_xlfn.XLOOKUP($I59,#REF!,_xlfn.XLOOKUP(AT$10,#REF!,#REF!,"",0,1),""),"")</f>
        <v/>
      </c>
      <c r="AU59" s="12" t="str" cm="1">
        <f t="array" ref="AU59">IFERROR(_xlfn.XLOOKUP($I59,#REF!,_xlfn.XLOOKUP(AU$10,#REF!,#REF!,"",0,1),""),"")</f>
        <v/>
      </c>
      <c r="AV59" s="12" t="str" cm="1">
        <f t="array" ref="AV59">IFERROR(_xlfn.XLOOKUP($I59,#REF!,_xlfn.XLOOKUP(AV$10,#REF!,#REF!,"",0,1),""),"")</f>
        <v/>
      </c>
      <c r="AW59" s="12" t="str">
        <f>IFERROR(_xlfn.XLOOKUP($I59,#REF!,#REF!,""),"")</f>
        <v/>
      </c>
      <c r="AX59" s="12" t="str">
        <f>IFERROR(_xlfn.XLOOKUP($I59,#REF!,#REF!,""),"")</f>
        <v/>
      </c>
      <c r="AY59" s="12" t="str">
        <f>IFERROR(_xlfn.XLOOKUP($I59,#REF!,#REF!,""),"")</f>
        <v/>
      </c>
      <c r="AZ59" s="11" t="str" cm="1">
        <f t="array" ref="AZ59">IFERROR(_xlfn.XLOOKUP($I59,#REF!,_xlfn.XLOOKUP(AZ$10,#REF!,#REF!,"",0,1),""),"")</f>
        <v/>
      </c>
      <c r="BA59" s="11" t="str" cm="1">
        <f t="array" ref="BA59">IFERROR(_xlfn.XLOOKUP($I59,#REF!,_xlfn.XLOOKUP(BA$10,#REF!,#REF!,"",0,1),""),"")</f>
        <v/>
      </c>
      <c r="BB59" s="11" t="str">
        <f>IFERROR(_xlfn.XLOOKUP($I59,#REF!,#REF!,""),"")</f>
        <v/>
      </c>
      <c r="BC59" s="11" t="str">
        <f>IFERROR(_xlfn.XLOOKUP($I59,#REF!,#REF!,""),"")</f>
        <v/>
      </c>
      <c r="BD59" s="12" t="str" cm="1">
        <f t="array" ref="BD59">IFERROR(_xlfn.XLOOKUP($I59,#REF!,_xlfn.XLOOKUP(BD$10,#REF!,#REF!,"",0,1),""),"")</f>
        <v/>
      </c>
      <c r="BE59" s="12" t="str" cm="1">
        <f t="array" ref="BE59">IFERROR(_xlfn.XLOOKUP($I59,#REF!,_xlfn.XLOOKUP(BE$10,#REF!,#REF!,"",0,1),""),"")</f>
        <v/>
      </c>
      <c r="BF59" s="12" t="str" cm="1">
        <f t="array" ref="BF59">IFERROR(_xlfn.XLOOKUP($I59,#REF!,_xlfn.XLOOKUP(BF$10,#REF!,#REF!,"",0,1),""),"")</f>
        <v/>
      </c>
      <c r="BG59" s="12" t="str" cm="1">
        <f t="array" ref="BG59">IFERROR(_xlfn.XLOOKUP($I59,#REF!,_xlfn.XLOOKUP(BG$10,#REF!,#REF!,"",0,1),""),"")</f>
        <v/>
      </c>
      <c r="BH59" s="12" t="str" cm="1">
        <f t="array" ref="BH59">IFERROR(_xlfn.XLOOKUP($I59,#REF!,_xlfn.XLOOKUP(BH$10,#REF!,#REF!,"",0,1),""),"")</f>
        <v/>
      </c>
      <c r="BI59" s="12" t="str" cm="1">
        <f t="array" ref="BI59">IFERROR(_xlfn.XLOOKUP($I59,#REF!,_xlfn.XLOOKUP(BI$10,#REF!,#REF!,"",0,1),""),"")</f>
        <v/>
      </c>
      <c r="BJ59" s="12" t="str" cm="1">
        <f t="array" ref="BJ59">IFERROR(_xlfn.XLOOKUP($I59,#REF!,_xlfn.XLOOKUP(BJ$10,#REF!,#REF!,"",0,1),""),"")</f>
        <v/>
      </c>
      <c r="BK59" s="12" t="str" cm="1">
        <f t="array" ref="BK59">IFERROR(_xlfn.XLOOKUP($I59,#REF!,_xlfn.XLOOKUP(BK$10,#REF!,#REF!,"",0,1),""),"")</f>
        <v/>
      </c>
      <c r="BL59" s="12" t="str" cm="1">
        <f t="array" ref="BL59">IFERROR(_xlfn.XLOOKUP($I59,#REF!,_xlfn.XLOOKUP(BL$10,#REF!,#REF!,"",0,1),""),"")</f>
        <v/>
      </c>
      <c r="BM59" s="12" t="str">
        <f>IFERROR(_xlfn.XLOOKUP($I59,#REF!,#REF!,""),"")</f>
        <v/>
      </c>
      <c r="BN59" s="12" t="str">
        <f>IFERROR(_xlfn.XLOOKUP($I59,#REF!,#REF!,""),"")</f>
        <v/>
      </c>
      <c r="BO59" s="12" t="str">
        <f>IFERROR(_xlfn.XLOOKUP($I59,#REF!,#REF!,""),"")</f>
        <v/>
      </c>
      <c r="BP59" s="12" t="str" cm="1">
        <f t="array" ref="BP59">IFERROR(_xlfn.XLOOKUP($I59,#REF!,_xlfn.XLOOKUP(BP$10,#REF!,#REF!,"",0,1),""),"")</f>
        <v/>
      </c>
      <c r="BQ59" s="12" t="str">
        <f>IFERROR(_xlfn.XLOOKUP($I59,#REF!,#REF!,""),"")</f>
        <v/>
      </c>
      <c r="BR59" s="12" t="str">
        <f>IFERROR(_xlfn.XLOOKUP($I59,#REF!,#REF!,""),"")</f>
        <v/>
      </c>
      <c r="BS59" s="12" t="str">
        <f>IFERROR(_xlfn.XLOOKUP($I59,#REF!,#REF!,""),"")</f>
        <v/>
      </c>
      <c r="BT59" s="11" t="str">
        <f>IFERROR(_xlfn.XLOOKUP($I59,#REF!,#REF!,""),"")</f>
        <v/>
      </c>
      <c r="BU59" s="11" t="str">
        <f>IFERROR(_xlfn.XLOOKUP($I59,#REF!,#REF!,""),"")</f>
        <v/>
      </c>
      <c r="BV59" s="32" t="str">
        <f>IFERROR(_xlfn.XLOOKUP($I59,#REF!,#REF!,""),"")</f>
        <v/>
      </c>
      <c r="BW59" s="12" t="str">
        <f>IFERROR(_xlfn.XLOOKUP($I59,#REF!,#REF!,""),"")</f>
        <v/>
      </c>
    </row>
    <row r="60" spans="3:75" ht="52.35" customHeight="1" x14ac:dyDescent="0.3">
      <c r="C60" s="22" t="str">
        <f>IFERROR(_xlfn.XLOOKUP($I60,#REF!,#REF!,""),"")</f>
        <v/>
      </c>
      <c r="D60" s="19" t="str">
        <f>IFERROR(_xlfn.XLOOKUP($I60,#REF!,#REF!,""),"")</f>
        <v/>
      </c>
      <c r="E60" s="23" t="str">
        <f>IFERROR(_xlfn.XLOOKUP($I60,#REF!,#REF!,""),"")</f>
        <v/>
      </c>
      <c r="F60" s="19" t="str">
        <f>IFERROR(_xlfn.XLOOKUP($I60,#REF!,#REF!,""),"")</f>
        <v/>
      </c>
      <c r="G60" s="19" t="str">
        <f>IFERROR(_xlfn.XLOOKUP($I60,#REF!,#REF!,""),"")</f>
        <v/>
      </c>
      <c r="H60" s="19" t="str">
        <f>IFERROR(_xlfn.XLOOKUP($I60,#REF!,#REF!,""),"")</f>
        <v/>
      </c>
      <c r="I60" s="77">
        <v>102630</v>
      </c>
      <c r="J60" s="12" t="str" cm="1">
        <f t="array" ref="J60">IFERROR(_xlfn.XLOOKUP($I60,#REF!,_xlfn.XLOOKUP(J$10,#REF!,#REF!,"",0,1),""),"")</f>
        <v/>
      </c>
      <c r="K60" s="12" t="str" cm="1">
        <f t="array" ref="K60">IFERROR(_xlfn.XLOOKUP($I60,#REF!,_xlfn.XLOOKUP(K$10,#REF!,#REF!,"",0,1),""),"")</f>
        <v/>
      </c>
      <c r="L60" s="12" t="str" cm="1">
        <f t="array" ref="L60">IFERROR(_xlfn.XLOOKUP($I60,#REF!,_xlfn.XLOOKUP(L$10,#REF!,#REF!,"",0,1),""),"")</f>
        <v/>
      </c>
      <c r="M60" s="36" t="str" cm="1">
        <f t="array" ref="M60">IFERROR(_xlfn.XLOOKUP($I60,#REF!,_xlfn.XLOOKUP(M$10,#REF!,#REF!,"",0,1),""),"")</f>
        <v/>
      </c>
      <c r="N60" s="37" t="str" cm="1">
        <f t="array" ref="N60">IFERROR(_xlfn.XLOOKUP($I60,#REF!,_xlfn.XLOOKUP(N$10,#REF!,#REF!,"",0,1),""),"")</f>
        <v/>
      </c>
      <c r="O60" s="12" t="str" cm="1">
        <f t="array" ref="O60">IFERROR(_xlfn.XLOOKUP($I60,#REF!,_xlfn.XLOOKUP(O$10,#REF!,#REF!,"",0,1),""),"")</f>
        <v/>
      </c>
      <c r="P60" s="12" t="str" cm="1">
        <f t="array" ref="P60">IFERROR(_xlfn.XLOOKUP($I60,#REF!,_xlfn.XLOOKUP(P$10,#REF!,#REF!,"",0,1),""),"")</f>
        <v/>
      </c>
      <c r="Q60" s="12" t="str" cm="1">
        <f t="array" ref="Q60">IFERROR(_xlfn.XLOOKUP($I60,#REF!,_xlfn.XLOOKUP(Q$10,#REF!,#REF!,"",0,1),""),"")</f>
        <v/>
      </c>
      <c r="R60" s="12" t="str" cm="1">
        <f t="array" ref="R60">IFERROR(_xlfn.XLOOKUP($I60,#REF!,_xlfn.XLOOKUP(R$10,#REF!,#REF!,"",0,1),""),"")</f>
        <v/>
      </c>
      <c r="S60" s="12" t="str">
        <f>IFERROR(_xlfn.XLOOKUP($I60,#REF!,#REF!,""),"")</f>
        <v/>
      </c>
      <c r="T60" s="12" t="str">
        <f>IFERROR(_xlfn.XLOOKUP($I60,#REF!,#REF!,""),"")</f>
        <v/>
      </c>
      <c r="U60" s="12" t="str">
        <f>IFERROR(_xlfn.XLOOKUP($I60,#REF!,#REF!,""),"")</f>
        <v/>
      </c>
      <c r="V60" s="12" t="str">
        <f>IFERROR(_xlfn.XLOOKUP($I60,#REF!,#REF!,""),"")</f>
        <v/>
      </c>
      <c r="W60" s="74" t="str" cm="1">
        <f t="array" ref="W60">IFERROR(_xlfn.XLOOKUP($I60,#REF!,_xlfn.XLOOKUP(W$10,#REF!,#REF!,"",0,1),""),"")</f>
        <v/>
      </c>
      <c r="X60" s="74" t="str" cm="1">
        <f t="array" ref="X60">IFERROR(_xlfn.XLOOKUP($I60,#REF!,_xlfn.XLOOKUP(X$10,#REF!,#REF!,"",0,1),""),"")</f>
        <v/>
      </c>
      <c r="Y60" s="74" t="str" cm="1">
        <f t="array" ref="Y60">IFERROR(_xlfn.XLOOKUP($I60,#REF!,_xlfn.XLOOKUP(Y$10,#REF!,#REF!,"",0,1),""),"")</f>
        <v/>
      </c>
      <c r="Z60" s="74" t="str" cm="1">
        <f t="array" ref="Z60">IFERROR(_xlfn.XLOOKUP($I60,#REF!,_xlfn.XLOOKUP(Z$10,#REF!,#REF!,"",0,1),""),"")</f>
        <v/>
      </c>
      <c r="AA60" s="74" t="str" cm="1">
        <f t="array" ref="AA60">IFERROR(_xlfn.XLOOKUP($I60,#REF!,_xlfn.XLOOKUP(AA$10,#REF!,#REF!,"",0,1),""),"")</f>
        <v/>
      </c>
      <c r="AB60" s="12" t="str" cm="1">
        <f t="array" ref="AB60">IFERROR(_xlfn.XLOOKUP($I60,#REF!,_xlfn.XLOOKUP(AB$10,#REF!,#REF!,"",0,1),""),"")</f>
        <v/>
      </c>
      <c r="AC60" s="52" t="str" cm="1">
        <f t="array" ref="AC60">IFERROR(_xlfn.XLOOKUP($I60,#REF!,_xlfn.XLOOKUP(AC$10,#REF!,#REF!,"",0,1),""),"")</f>
        <v/>
      </c>
      <c r="AD60" s="12" t="str" cm="1">
        <f t="array" ref="AD60">IFERROR(_xlfn.XLOOKUP($I60,#REF!,_xlfn.XLOOKUP(AD$10,#REF!,#REF!,"",0,1),""),"")</f>
        <v/>
      </c>
      <c r="AE60" s="12"/>
      <c r="AF60" s="12" t="str" cm="1">
        <f t="array" ref="AF60">IFERROR(_xlfn.XLOOKUP($I60,#REF!,_xlfn.XLOOKUP(AF$10,#REF!,#REF!,"",0,1),""),"")</f>
        <v/>
      </c>
      <c r="AG60" s="12" t="str" cm="1">
        <f t="array" ref="AG60">IFERROR(_xlfn.XLOOKUP($I60,#REF!,_xlfn.XLOOKUP(AG$10,#REF!,#REF!,"",0,1),""),"")</f>
        <v/>
      </c>
      <c r="AH60" s="12" t="str" cm="1">
        <f t="array" ref="AH60">IFERROR(_xlfn.XLOOKUP($I60,#REF!,_xlfn.XLOOKUP(AH$10,#REF!,#REF!,"",0,1),""),"")</f>
        <v/>
      </c>
      <c r="AI60" s="12" t="str" cm="1">
        <f t="array" ref="AI60">IFERROR(_xlfn.XLOOKUP($I60,#REF!,_xlfn.XLOOKUP(AI$10,#REF!,#REF!,"",0,1),""),"")</f>
        <v/>
      </c>
      <c r="AJ60" s="12"/>
      <c r="AK60" s="12"/>
      <c r="AL60" s="11" t="str" cm="1">
        <f t="array" ref="AL60">IFERROR(_xlfn.XLOOKUP($I60,#REF!,_xlfn.XLOOKUP(AL$10,#REF!,#REF!,"",0,1),""),"")</f>
        <v/>
      </c>
      <c r="AM60" s="11" t="str" cm="1">
        <f t="array" ref="AM60">IFERROR(_xlfn.XLOOKUP($I60,#REF!,_xlfn.XLOOKUP(AM$10,#REF!,#REF!,"",0,1),""),"")</f>
        <v/>
      </c>
      <c r="AN60" s="11" t="str" cm="1">
        <f t="array" ref="AN60">IFERROR(_xlfn.XLOOKUP($I60,#REF!,_xlfn.XLOOKUP(AN$10,#REF!,#REF!,"",0,1),""),"")</f>
        <v/>
      </c>
      <c r="AO60" s="11" t="str" cm="1">
        <f t="array" ref="AO60">IFERROR(_xlfn.XLOOKUP($I60,#REF!,_xlfn.XLOOKUP(AO$10,#REF!,#REF!,"",0,1),""),"")</f>
        <v/>
      </c>
      <c r="AP60" s="11" t="str" cm="1">
        <f t="array" ref="AP60">IFERROR(_xlfn.XLOOKUP($I60,#REF!,_xlfn.XLOOKUP(AP$10,#REF!,#REF!,"",0,1),""),"")</f>
        <v/>
      </c>
      <c r="AQ60" s="11" t="str" cm="1">
        <f t="array" ref="AQ60">IFERROR(_xlfn.XLOOKUP($I60,#REF!,_xlfn.XLOOKUP(AQ$10,#REF!,#REF!,"",0,1),""),"")</f>
        <v/>
      </c>
      <c r="AR60" s="12" t="str" cm="1">
        <f t="array" ref="AR60">IFERROR(_xlfn.XLOOKUP($I60,#REF!,_xlfn.XLOOKUP(AR$10,#REF!,#REF!,"",0,1),""),"")</f>
        <v/>
      </c>
      <c r="AS60" s="12" t="str" cm="1">
        <f t="array" ref="AS60">IFERROR(_xlfn.XLOOKUP($I60,#REF!,_xlfn.XLOOKUP(AS$10,#REF!,#REF!,"",0,1),""),"")</f>
        <v/>
      </c>
      <c r="AT60" s="12" t="str" cm="1">
        <f t="array" ref="AT60">IFERROR(_xlfn.XLOOKUP($I60,#REF!,_xlfn.XLOOKUP(AT$10,#REF!,#REF!,"",0,1),""),"")</f>
        <v/>
      </c>
      <c r="AU60" s="12" t="str" cm="1">
        <f t="array" ref="AU60">IFERROR(_xlfn.XLOOKUP($I60,#REF!,_xlfn.XLOOKUP(AU$10,#REF!,#REF!,"",0,1),""),"")</f>
        <v/>
      </c>
      <c r="AV60" s="12" t="str" cm="1">
        <f t="array" ref="AV60">IFERROR(_xlfn.XLOOKUP($I60,#REF!,_xlfn.XLOOKUP(AV$10,#REF!,#REF!,"",0,1),""),"")</f>
        <v/>
      </c>
      <c r="AW60" s="12" t="str">
        <f>IFERROR(_xlfn.XLOOKUP($I60,#REF!,#REF!,""),"")</f>
        <v/>
      </c>
      <c r="AX60" s="12" t="str">
        <f>IFERROR(_xlfn.XLOOKUP($I60,#REF!,#REF!,""),"")</f>
        <v/>
      </c>
      <c r="AY60" s="12" t="str">
        <f>IFERROR(_xlfn.XLOOKUP($I60,#REF!,#REF!,""),"")</f>
        <v/>
      </c>
      <c r="AZ60" s="11" t="str" cm="1">
        <f t="array" ref="AZ60">IFERROR(_xlfn.XLOOKUP($I60,#REF!,_xlfn.XLOOKUP(AZ$10,#REF!,#REF!,"",0,1),""),"")</f>
        <v/>
      </c>
      <c r="BA60" s="11" t="str" cm="1">
        <f t="array" ref="BA60">IFERROR(_xlfn.XLOOKUP($I60,#REF!,_xlfn.XLOOKUP(BA$10,#REF!,#REF!,"",0,1),""),"")</f>
        <v/>
      </c>
      <c r="BB60" s="11" t="str">
        <f>IFERROR(_xlfn.XLOOKUP($I60,#REF!,#REF!,""),"")</f>
        <v/>
      </c>
      <c r="BC60" s="11" t="str">
        <f>IFERROR(_xlfn.XLOOKUP($I60,#REF!,#REF!,""),"")</f>
        <v/>
      </c>
      <c r="BD60" s="12" t="str" cm="1">
        <f t="array" ref="BD60">IFERROR(_xlfn.XLOOKUP($I60,#REF!,_xlfn.XLOOKUP(BD$10,#REF!,#REF!,"",0,1),""),"")</f>
        <v/>
      </c>
      <c r="BE60" s="12" t="str" cm="1">
        <f t="array" ref="BE60">IFERROR(_xlfn.XLOOKUP($I60,#REF!,_xlfn.XLOOKUP(BE$10,#REF!,#REF!,"",0,1),""),"")</f>
        <v/>
      </c>
      <c r="BF60" s="12" t="str" cm="1">
        <f t="array" ref="BF60">IFERROR(_xlfn.XLOOKUP($I60,#REF!,_xlfn.XLOOKUP(BF$10,#REF!,#REF!,"",0,1),""),"")</f>
        <v/>
      </c>
      <c r="BG60" s="12" t="str" cm="1">
        <f t="array" ref="BG60">IFERROR(_xlfn.XLOOKUP($I60,#REF!,_xlfn.XLOOKUP(BG$10,#REF!,#REF!,"",0,1),""),"")</f>
        <v/>
      </c>
      <c r="BH60" s="12" t="str" cm="1">
        <f t="array" ref="BH60">IFERROR(_xlfn.XLOOKUP($I60,#REF!,_xlfn.XLOOKUP(BH$10,#REF!,#REF!,"",0,1),""),"")</f>
        <v/>
      </c>
      <c r="BI60" s="12" t="str" cm="1">
        <f t="array" ref="BI60">IFERROR(_xlfn.XLOOKUP($I60,#REF!,_xlfn.XLOOKUP(BI$10,#REF!,#REF!,"",0,1),""),"")</f>
        <v/>
      </c>
      <c r="BJ60" s="12" t="str" cm="1">
        <f t="array" ref="BJ60">IFERROR(_xlfn.XLOOKUP($I60,#REF!,_xlfn.XLOOKUP(BJ$10,#REF!,#REF!,"",0,1),""),"")</f>
        <v/>
      </c>
      <c r="BK60" s="12" t="str" cm="1">
        <f t="array" ref="BK60">IFERROR(_xlfn.XLOOKUP($I60,#REF!,_xlfn.XLOOKUP(BK$10,#REF!,#REF!,"",0,1),""),"")</f>
        <v/>
      </c>
      <c r="BL60" s="12" t="str" cm="1">
        <f t="array" ref="BL60">IFERROR(_xlfn.XLOOKUP($I60,#REF!,_xlfn.XLOOKUP(BL$10,#REF!,#REF!,"",0,1),""),"")</f>
        <v/>
      </c>
      <c r="BM60" s="12" t="str">
        <f>IFERROR(_xlfn.XLOOKUP($I60,#REF!,#REF!,""),"")</f>
        <v/>
      </c>
      <c r="BN60" s="12" t="str">
        <f>IFERROR(_xlfn.XLOOKUP($I60,#REF!,#REF!,""),"")</f>
        <v/>
      </c>
      <c r="BO60" s="12" t="str">
        <f>IFERROR(_xlfn.XLOOKUP($I60,#REF!,#REF!,""),"")</f>
        <v/>
      </c>
      <c r="BP60" s="12" t="str" cm="1">
        <f t="array" ref="BP60">IFERROR(_xlfn.XLOOKUP($I60,#REF!,_xlfn.XLOOKUP(BP$10,#REF!,#REF!,"",0,1),""),"")</f>
        <v/>
      </c>
      <c r="BQ60" s="12" t="str">
        <f>IFERROR(_xlfn.XLOOKUP($I60,#REF!,#REF!,""),"")</f>
        <v/>
      </c>
      <c r="BR60" s="12" t="str">
        <f>IFERROR(_xlfn.XLOOKUP($I60,#REF!,#REF!,""),"")</f>
        <v/>
      </c>
      <c r="BS60" s="12" t="str">
        <f>IFERROR(_xlfn.XLOOKUP($I60,#REF!,#REF!,""),"")</f>
        <v/>
      </c>
      <c r="BT60" s="11" t="str">
        <f>IFERROR(_xlfn.XLOOKUP($I60,#REF!,#REF!,""),"")</f>
        <v/>
      </c>
      <c r="BU60" s="11" t="str">
        <f>IFERROR(_xlfn.XLOOKUP($I60,#REF!,#REF!,""),"")</f>
        <v/>
      </c>
      <c r="BV60" s="32" t="str">
        <f>IFERROR(_xlfn.XLOOKUP($I60,#REF!,#REF!,""),"")</f>
        <v/>
      </c>
      <c r="BW60" s="12" t="str">
        <f>IFERROR(_xlfn.XLOOKUP($I60,#REF!,#REF!,""),"")</f>
        <v/>
      </c>
    </row>
    <row r="61" spans="3:75" ht="52.35" customHeight="1" x14ac:dyDescent="0.3">
      <c r="C61" s="22" t="str">
        <f>IFERROR(_xlfn.XLOOKUP($I61,#REF!,#REF!,""),"")</f>
        <v/>
      </c>
      <c r="D61" s="19" t="str">
        <f>IFERROR(_xlfn.XLOOKUP($I61,#REF!,#REF!,""),"")</f>
        <v/>
      </c>
      <c r="E61" s="23" t="str">
        <f>IFERROR(_xlfn.XLOOKUP($I61,#REF!,#REF!,""),"")</f>
        <v/>
      </c>
      <c r="F61" s="19" t="str">
        <f>IFERROR(_xlfn.XLOOKUP($I61,#REF!,#REF!,""),"")</f>
        <v/>
      </c>
      <c r="G61" s="19" t="str">
        <f>IFERROR(_xlfn.XLOOKUP($I61,#REF!,#REF!,""),"")</f>
        <v/>
      </c>
      <c r="H61" s="19" t="str">
        <f>IFERROR(_xlfn.XLOOKUP($I61,#REF!,#REF!,""),"")</f>
        <v/>
      </c>
      <c r="I61" s="77">
        <v>109274</v>
      </c>
      <c r="J61" s="12" t="str" cm="1">
        <f t="array" ref="J61">IFERROR(_xlfn.XLOOKUP($I61,#REF!,_xlfn.XLOOKUP(J$10,#REF!,#REF!,"",0,1),""),"")</f>
        <v/>
      </c>
      <c r="K61" s="12" t="str" cm="1">
        <f t="array" ref="K61">IFERROR(_xlfn.XLOOKUP($I61,#REF!,_xlfn.XLOOKUP(K$10,#REF!,#REF!,"",0,1),""),"")</f>
        <v/>
      </c>
      <c r="L61" s="12" t="str" cm="1">
        <f t="array" ref="L61">IFERROR(_xlfn.XLOOKUP($I61,#REF!,_xlfn.XLOOKUP(L$10,#REF!,#REF!,"",0,1),""),"")</f>
        <v/>
      </c>
      <c r="M61" s="36" t="str" cm="1">
        <f t="array" ref="M61">IFERROR(_xlfn.XLOOKUP($I61,#REF!,_xlfn.XLOOKUP(M$10,#REF!,#REF!,"",0,1),""),"")</f>
        <v/>
      </c>
      <c r="N61" s="37" t="str" cm="1">
        <f t="array" ref="N61">IFERROR(_xlfn.XLOOKUP($I61,#REF!,_xlfn.XLOOKUP(N$10,#REF!,#REF!,"",0,1),""),"")</f>
        <v/>
      </c>
      <c r="O61" s="12" t="str" cm="1">
        <f t="array" ref="O61">IFERROR(_xlfn.XLOOKUP($I61,#REF!,_xlfn.XLOOKUP(O$10,#REF!,#REF!,"",0,1),""),"")</f>
        <v/>
      </c>
      <c r="P61" s="12" t="str" cm="1">
        <f t="array" ref="P61">IFERROR(_xlfn.XLOOKUP($I61,#REF!,_xlfn.XLOOKUP(P$10,#REF!,#REF!,"",0,1),""),"")</f>
        <v/>
      </c>
      <c r="Q61" s="12" t="str" cm="1">
        <f t="array" ref="Q61">IFERROR(_xlfn.XLOOKUP($I61,#REF!,_xlfn.XLOOKUP(Q$10,#REF!,#REF!,"",0,1),""),"")</f>
        <v/>
      </c>
      <c r="R61" s="12" t="str" cm="1">
        <f t="array" ref="R61">IFERROR(_xlfn.XLOOKUP($I61,#REF!,_xlfn.XLOOKUP(R$10,#REF!,#REF!,"",0,1),""),"")</f>
        <v/>
      </c>
      <c r="S61" s="12" t="str">
        <f>IFERROR(_xlfn.XLOOKUP($I61,#REF!,#REF!,""),"")</f>
        <v/>
      </c>
      <c r="T61" s="12" t="str">
        <f>IFERROR(_xlfn.XLOOKUP($I61,#REF!,#REF!,""),"")</f>
        <v/>
      </c>
      <c r="U61" s="12" t="str">
        <f>IFERROR(_xlfn.XLOOKUP($I61,#REF!,#REF!,""),"")</f>
        <v/>
      </c>
      <c r="V61" s="12" t="str">
        <f>IFERROR(_xlfn.XLOOKUP($I61,#REF!,#REF!,""),"")</f>
        <v/>
      </c>
      <c r="W61" s="74" t="str" cm="1">
        <f t="array" ref="W61">IFERROR(_xlfn.XLOOKUP($I61,#REF!,_xlfn.XLOOKUP(W$10,#REF!,#REF!,"",0,1),""),"")</f>
        <v/>
      </c>
      <c r="X61" s="74" t="str" cm="1">
        <f t="array" ref="X61">IFERROR(_xlfn.XLOOKUP($I61,#REF!,_xlfn.XLOOKUP(X$10,#REF!,#REF!,"",0,1),""),"")</f>
        <v/>
      </c>
      <c r="Y61" s="74" t="str" cm="1">
        <f t="array" ref="Y61">IFERROR(_xlfn.XLOOKUP($I61,#REF!,_xlfn.XLOOKUP(Y$10,#REF!,#REF!,"",0,1),""),"")</f>
        <v/>
      </c>
      <c r="Z61" s="74" t="str" cm="1">
        <f t="array" ref="Z61">IFERROR(_xlfn.XLOOKUP($I61,#REF!,_xlfn.XLOOKUP(Z$10,#REF!,#REF!,"",0,1),""),"")</f>
        <v/>
      </c>
      <c r="AA61" s="74" t="str" cm="1">
        <f t="array" ref="AA61">IFERROR(_xlfn.XLOOKUP($I61,#REF!,_xlfn.XLOOKUP(AA$10,#REF!,#REF!,"",0,1),""),"")</f>
        <v/>
      </c>
      <c r="AB61" s="12" t="str" cm="1">
        <f t="array" ref="AB61">IFERROR(_xlfn.XLOOKUP($I61,#REF!,_xlfn.XLOOKUP(AB$10,#REF!,#REF!,"",0,1),""),"")</f>
        <v/>
      </c>
      <c r="AC61" s="52" t="str" cm="1">
        <f t="array" ref="AC61">IFERROR(_xlfn.XLOOKUP($I61,#REF!,_xlfn.XLOOKUP(AC$10,#REF!,#REF!,"",0,1),""),"")</f>
        <v/>
      </c>
      <c r="AD61" s="12" t="str" cm="1">
        <f t="array" ref="AD61">IFERROR(_xlfn.XLOOKUP($I61,#REF!,_xlfn.XLOOKUP(AD$10,#REF!,#REF!,"",0,1),""),"")</f>
        <v/>
      </c>
      <c r="AE61" s="12"/>
      <c r="AF61" s="12" t="str" cm="1">
        <f t="array" ref="AF61">IFERROR(_xlfn.XLOOKUP($I61,#REF!,_xlfn.XLOOKUP(AF$10,#REF!,#REF!,"",0,1),""),"")</f>
        <v/>
      </c>
      <c r="AG61" s="12" t="str" cm="1">
        <f t="array" ref="AG61">IFERROR(_xlfn.XLOOKUP($I61,#REF!,_xlfn.XLOOKUP(AG$10,#REF!,#REF!,"",0,1),""),"")</f>
        <v/>
      </c>
      <c r="AH61" s="12" t="str" cm="1">
        <f t="array" ref="AH61">IFERROR(_xlfn.XLOOKUP($I61,#REF!,_xlfn.XLOOKUP(AH$10,#REF!,#REF!,"",0,1),""),"")</f>
        <v/>
      </c>
      <c r="AI61" s="12" t="str" cm="1">
        <f t="array" ref="AI61">IFERROR(_xlfn.XLOOKUP($I61,#REF!,_xlfn.XLOOKUP(AI$10,#REF!,#REF!,"",0,1),""),"")</f>
        <v/>
      </c>
      <c r="AJ61" s="12"/>
      <c r="AK61" s="12"/>
      <c r="AL61" s="11" t="str" cm="1">
        <f t="array" ref="AL61">IFERROR(_xlfn.XLOOKUP($I61,#REF!,_xlfn.XLOOKUP(AL$10,#REF!,#REF!,"",0,1),""),"")</f>
        <v/>
      </c>
      <c r="AM61" s="11" t="str" cm="1">
        <f t="array" ref="AM61">IFERROR(_xlfn.XLOOKUP($I61,#REF!,_xlfn.XLOOKUP(AM$10,#REF!,#REF!,"",0,1),""),"")</f>
        <v/>
      </c>
      <c r="AN61" s="11" t="str" cm="1">
        <f t="array" ref="AN61">IFERROR(_xlfn.XLOOKUP($I61,#REF!,_xlfn.XLOOKUP(AN$10,#REF!,#REF!,"",0,1),""),"")</f>
        <v/>
      </c>
      <c r="AO61" s="11" t="str" cm="1">
        <f t="array" ref="AO61">IFERROR(_xlfn.XLOOKUP($I61,#REF!,_xlfn.XLOOKUP(AO$10,#REF!,#REF!,"",0,1),""),"")</f>
        <v/>
      </c>
      <c r="AP61" s="11" t="str" cm="1">
        <f t="array" ref="AP61">IFERROR(_xlfn.XLOOKUP($I61,#REF!,_xlfn.XLOOKUP(AP$10,#REF!,#REF!,"",0,1),""),"")</f>
        <v/>
      </c>
      <c r="AQ61" s="11" t="str" cm="1">
        <f t="array" ref="AQ61">IFERROR(_xlfn.XLOOKUP($I61,#REF!,_xlfn.XLOOKUP(AQ$10,#REF!,#REF!,"",0,1),""),"")</f>
        <v/>
      </c>
      <c r="AR61" s="12" t="str" cm="1">
        <f t="array" ref="AR61">IFERROR(_xlfn.XLOOKUP($I61,#REF!,_xlfn.XLOOKUP(AR$10,#REF!,#REF!,"",0,1),""),"")</f>
        <v/>
      </c>
      <c r="AS61" s="12" t="str" cm="1">
        <f t="array" ref="AS61">IFERROR(_xlfn.XLOOKUP($I61,#REF!,_xlfn.XLOOKUP(AS$10,#REF!,#REF!,"",0,1),""),"")</f>
        <v/>
      </c>
      <c r="AT61" s="12" t="str" cm="1">
        <f t="array" ref="AT61">IFERROR(_xlfn.XLOOKUP($I61,#REF!,_xlfn.XLOOKUP(AT$10,#REF!,#REF!,"",0,1),""),"")</f>
        <v/>
      </c>
      <c r="AU61" s="12" t="str" cm="1">
        <f t="array" ref="AU61">IFERROR(_xlfn.XLOOKUP($I61,#REF!,_xlfn.XLOOKUP(AU$10,#REF!,#REF!,"",0,1),""),"")</f>
        <v/>
      </c>
      <c r="AV61" s="12" t="str" cm="1">
        <f t="array" ref="AV61">IFERROR(_xlfn.XLOOKUP($I61,#REF!,_xlfn.XLOOKUP(AV$10,#REF!,#REF!,"",0,1),""),"")</f>
        <v/>
      </c>
      <c r="AW61" s="12" t="str">
        <f>IFERROR(_xlfn.XLOOKUP($I61,#REF!,#REF!,""),"")</f>
        <v/>
      </c>
      <c r="AX61" s="12" t="str">
        <f>IFERROR(_xlfn.XLOOKUP($I61,#REF!,#REF!,""),"")</f>
        <v/>
      </c>
      <c r="AY61" s="12" t="str">
        <f>IFERROR(_xlfn.XLOOKUP($I61,#REF!,#REF!,""),"")</f>
        <v/>
      </c>
      <c r="AZ61" s="11" t="str" cm="1">
        <f t="array" ref="AZ61">IFERROR(_xlfn.XLOOKUP($I61,#REF!,_xlfn.XLOOKUP(AZ$10,#REF!,#REF!,"",0,1),""),"")</f>
        <v/>
      </c>
      <c r="BA61" s="11" t="str" cm="1">
        <f t="array" ref="BA61">IFERROR(_xlfn.XLOOKUP($I61,#REF!,_xlfn.XLOOKUP(BA$10,#REF!,#REF!,"",0,1),""),"")</f>
        <v/>
      </c>
      <c r="BB61" s="11" t="str">
        <f>IFERROR(_xlfn.XLOOKUP($I61,#REF!,#REF!,""),"")</f>
        <v/>
      </c>
      <c r="BC61" s="11" t="str">
        <f>IFERROR(_xlfn.XLOOKUP($I61,#REF!,#REF!,""),"")</f>
        <v/>
      </c>
      <c r="BD61" s="12" t="str" cm="1">
        <f t="array" ref="BD61">IFERROR(_xlfn.XLOOKUP($I61,#REF!,_xlfn.XLOOKUP(BD$10,#REF!,#REF!,"",0,1),""),"")</f>
        <v/>
      </c>
      <c r="BE61" s="12" t="str" cm="1">
        <f t="array" ref="BE61">IFERROR(_xlfn.XLOOKUP($I61,#REF!,_xlfn.XLOOKUP(BE$10,#REF!,#REF!,"",0,1),""),"")</f>
        <v/>
      </c>
      <c r="BF61" s="12" t="str" cm="1">
        <f t="array" ref="BF61">IFERROR(_xlfn.XLOOKUP($I61,#REF!,_xlfn.XLOOKUP(BF$10,#REF!,#REF!,"",0,1),""),"")</f>
        <v/>
      </c>
      <c r="BG61" s="12" t="str" cm="1">
        <f t="array" ref="BG61">IFERROR(_xlfn.XLOOKUP($I61,#REF!,_xlfn.XLOOKUP(BG$10,#REF!,#REF!,"",0,1),""),"")</f>
        <v/>
      </c>
      <c r="BH61" s="12" t="str" cm="1">
        <f t="array" ref="BH61">IFERROR(_xlfn.XLOOKUP($I61,#REF!,_xlfn.XLOOKUP(BH$10,#REF!,#REF!,"",0,1),""),"")</f>
        <v/>
      </c>
      <c r="BI61" s="12" t="str" cm="1">
        <f t="array" ref="BI61">IFERROR(_xlfn.XLOOKUP($I61,#REF!,_xlfn.XLOOKUP(BI$10,#REF!,#REF!,"",0,1),""),"")</f>
        <v/>
      </c>
      <c r="BJ61" s="12" t="str" cm="1">
        <f t="array" ref="BJ61">IFERROR(_xlfn.XLOOKUP($I61,#REF!,_xlfn.XLOOKUP(BJ$10,#REF!,#REF!,"",0,1),""),"")</f>
        <v/>
      </c>
      <c r="BK61" s="12" t="str" cm="1">
        <f t="array" ref="BK61">IFERROR(_xlfn.XLOOKUP($I61,#REF!,_xlfn.XLOOKUP(BK$10,#REF!,#REF!,"",0,1),""),"")</f>
        <v/>
      </c>
      <c r="BL61" s="12" t="str" cm="1">
        <f t="array" ref="BL61">IFERROR(_xlfn.XLOOKUP($I61,#REF!,_xlfn.XLOOKUP(BL$10,#REF!,#REF!,"",0,1),""),"")</f>
        <v/>
      </c>
      <c r="BM61" s="12" t="str">
        <f>IFERROR(_xlfn.XLOOKUP($I61,#REF!,#REF!,""),"")</f>
        <v/>
      </c>
      <c r="BN61" s="12" t="str">
        <f>IFERROR(_xlfn.XLOOKUP($I61,#REF!,#REF!,""),"")</f>
        <v/>
      </c>
      <c r="BO61" s="12" t="str">
        <f>IFERROR(_xlfn.XLOOKUP($I61,#REF!,#REF!,""),"")</f>
        <v/>
      </c>
      <c r="BP61" s="12" t="str" cm="1">
        <f t="array" ref="BP61">IFERROR(_xlfn.XLOOKUP($I61,#REF!,_xlfn.XLOOKUP(BP$10,#REF!,#REF!,"",0,1),""),"")</f>
        <v/>
      </c>
      <c r="BQ61" s="12" t="str">
        <f>IFERROR(_xlfn.XLOOKUP($I61,#REF!,#REF!,""),"")</f>
        <v/>
      </c>
      <c r="BR61" s="12" t="str">
        <f>IFERROR(_xlfn.XLOOKUP($I61,#REF!,#REF!,""),"")</f>
        <v/>
      </c>
      <c r="BS61" s="12" t="str">
        <f>IFERROR(_xlfn.XLOOKUP($I61,#REF!,#REF!,""),"")</f>
        <v/>
      </c>
      <c r="BT61" s="11" t="str">
        <f>IFERROR(_xlfn.XLOOKUP($I61,#REF!,#REF!,""),"")</f>
        <v/>
      </c>
      <c r="BU61" s="11" t="str">
        <f>IFERROR(_xlfn.XLOOKUP($I61,#REF!,#REF!,""),"")</f>
        <v/>
      </c>
      <c r="BV61" s="32" t="str">
        <f>IFERROR(_xlfn.XLOOKUP($I61,#REF!,#REF!,""),"")</f>
        <v/>
      </c>
      <c r="BW61" s="12" t="str">
        <f>IFERROR(_xlfn.XLOOKUP($I61,#REF!,#REF!,""),"")</f>
        <v/>
      </c>
    </row>
    <row r="62" spans="3:75" ht="52.35" customHeight="1" x14ac:dyDescent="0.3">
      <c r="C62" s="22" t="str">
        <f>IFERROR(_xlfn.XLOOKUP($I62,#REF!,#REF!,""),"")</f>
        <v/>
      </c>
      <c r="D62" s="19" t="str">
        <f>IFERROR(_xlfn.XLOOKUP($I62,#REF!,#REF!,""),"")</f>
        <v/>
      </c>
      <c r="E62" s="23" t="str">
        <f>IFERROR(_xlfn.XLOOKUP($I62,#REF!,#REF!,""),"")</f>
        <v/>
      </c>
      <c r="F62" s="19" t="str">
        <f>IFERROR(_xlfn.XLOOKUP($I62,#REF!,#REF!,""),"")</f>
        <v/>
      </c>
      <c r="G62" s="19" t="str">
        <f>IFERROR(_xlfn.XLOOKUP($I62,#REF!,#REF!,""),"")</f>
        <v/>
      </c>
      <c r="H62" s="19" t="str">
        <f>IFERROR(_xlfn.XLOOKUP($I62,#REF!,#REF!,""),"")</f>
        <v/>
      </c>
      <c r="I62" s="77">
        <v>111589</v>
      </c>
      <c r="J62" s="12" t="str" cm="1">
        <f t="array" ref="J62">IFERROR(_xlfn.XLOOKUP($I62,#REF!,_xlfn.XLOOKUP(J$10,#REF!,#REF!,"",0,1),""),"")</f>
        <v/>
      </c>
      <c r="K62" s="12" t="str" cm="1">
        <f t="array" ref="K62">IFERROR(_xlfn.XLOOKUP($I62,#REF!,_xlfn.XLOOKUP(K$10,#REF!,#REF!,"",0,1),""),"")</f>
        <v/>
      </c>
      <c r="L62" s="12" t="str" cm="1">
        <f t="array" ref="L62">IFERROR(_xlfn.XLOOKUP($I62,#REF!,_xlfn.XLOOKUP(L$10,#REF!,#REF!,"",0,1),""),"")</f>
        <v/>
      </c>
      <c r="M62" s="36" t="str" cm="1">
        <f t="array" ref="M62">IFERROR(_xlfn.XLOOKUP($I62,#REF!,_xlfn.XLOOKUP(M$10,#REF!,#REF!,"",0,1),""),"")</f>
        <v/>
      </c>
      <c r="N62" s="37" t="str" cm="1">
        <f t="array" ref="N62">IFERROR(_xlfn.XLOOKUP($I62,#REF!,_xlfn.XLOOKUP(N$10,#REF!,#REF!,"",0,1),""),"")</f>
        <v/>
      </c>
      <c r="O62" s="12" t="str" cm="1">
        <f t="array" ref="O62">IFERROR(_xlfn.XLOOKUP($I62,#REF!,_xlfn.XLOOKUP(O$10,#REF!,#REF!,"",0,1),""),"")</f>
        <v/>
      </c>
      <c r="P62" s="12" t="str" cm="1">
        <f t="array" ref="P62">IFERROR(_xlfn.XLOOKUP($I62,#REF!,_xlfn.XLOOKUP(P$10,#REF!,#REF!,"",0,1),""),"")</f>
        <v/>
      </c>
      <c r="Q62" s="12" t="str" cm="1">
        <f t="array" ref="Q62">IFERROR(_xlfn.XLOOKUP($I62,#REF!,_xlfn.XLOOKUP(Q$10,#REF!,#REF!,"",0,1),""),"")</f>
        <v/>
      </c>
      <c r="R62" s="12" t="str" cm="1">
        <f t="array" ref="R62">IFERROR(_xlfn.XLOOKUP($I62,#REF!,_xlfn.XLOOKUP(R$10,#REF!,#REF!,"",0,1),""),"")</f>
        <v/>
      </c>
      <c r="S62" s="12" t="str">
        <f>IFERROR(_xlfn.XLOOKUP($I62,#REF!,#REF!,""),"")</f>
        <v/>
      </c>
      <c r="T62" s="12" t="str">
        <f>IFERROR(_xlfn.XLOOKUP($I62,#REF!,#REF!,""),"")</f>
        <v/>
      </c>
      <c r="U62" s="12" t="str">
        <f>IFERROR(_xlfn.XLOOKUP($I62,#REF!,#REF!,""),"")</f>
        <v/>
      </c>
      <c r="V62" s="12" t="str">
        <f>IFERROR(_xlfn.XLOOKUP($I62,#REF!,#REF!,""),"")</f>
        <v/>
      </c>
      <c r="W62" s="74" t="str" cm="1">
        <f t="array" ref="W62">IFERROR(_xlfn.XLOOKUP($I62,#REF!,_xlfn.XLOOKUP(W$10,#REF!,#REF!,"",0,1),""),"")</f>
        <v/>
      </c>
      <c r="X62" s="74" t="str" cm="1">
        <f t="array" ref="X62">IFERROR(_xlfn.XLOOKUP($I62,#REF!,_xlfn.XLOOKUP(X$10,#REF!,#REF!,"",0,1),""),"")</f>
        <v/>
      </c>
      <c r="Y62" s="74" t="str" cm="1">
        <f t="array" ref="Y62">IFERROR(_xlfn.XLOOKUP($I62,#REF!,_xlfn.XLOOKUP(Y$10,#REF!,#REF!,"",0,1),""),"")</f>
        <v/>
      </c>
      <c r="Z62" s="74" t="str" cm="1">
        <f t="array" ref="Z62">IFERROR(_xlfn.XLOOKUP($I62,#REF!,_xlfn.XLOOKUP(Z$10,#REF!,#REF!,"",0,1),""),"")</f>
        <v/>
      </c>
      <c r="AA62" s="74" t="str" cm="1">
        <f t="array" ref="AA62">IFERROR(_xlfn.XLOOKUP($I62,#REF!,_xlfn.XLOOKUP(AA$10,#REF!,#REF!,"",0,1),""),"")</f>
        <v/>
      </c>
      <c r="AB62" s="12" t="str" cm="1">
        <f t="array" ref="AB62">IFERROR(_xlfn.XLOOKUP($I62,#REF!,_xlfn.XLOOKUP(AB$10,#REF!,#REF!,"",0,1),""),"")</f>
        <v/>
      </c>
      <c r="AC62" s="52" t="str" cm="1">
        <f t="array" ref="AC62">IFERROR(_xlfn.XLOOKUP($I62,#REF!,_xlfn.XLOOKUP(AC$10,#REF!,#REF!,"",0,1),""),"")</f>
        <v/>
      </c>
      <c r="AD62" s="12" t="str" cm="1">
        <f t="array" ref="AD62">IFERROR(_xlfn.XLOOKUP($I62,#REF!,_xlfn.XLOOKUP(AD$10,#REF!,#REF!,"",0,1),""),"")</f>
        <v/>
      </c>
      <c r="AE62" s="12"/>
      <c r="AF62" s="12" t="str" cm="1">
        <f t="array" ref="AF62">IFERROR(_xlfn.XLOOKUP($I62,#REF!,_xlfn.XLOOKUP(AF$10,#REF!,#REF!,"",0,1),""),"")</f>
        <v/>
      </c>
      <c r="AG62" s="12" t="str" cm="1">
        <f t="array" ref="AG62">IFERROR(_xlfn.XLOOKUP($I62,#REF!,_xlfn.XLOOKUP(AG$10,#REF!,#REF!,"",0,1),""),"")</f>
        <v/>
      </c>
      <c r="AH62" s="12" t="str" cm="1">
        <f t="array" ref="AH62">IFERROR(_xlfn.XLOOKUP($I62,#REF!,_xlfn.XLOOKUP(AH$10,#REF!,#REF!,"",0,1),""),"")</f>
        <v/>
      </c>
      <c r="AI62" s="12" t="str" cm="1">
        <f t="array" ref="AI62">IFERROR(_xlfn.XLOOKUP($I62,#REF!,_xlfn.XLOOKUP(AI$10,#REF!,#REF!,"",0,1),""),"")</f>
        <v/>
      </c>
      <c r="AJ62" s="12"/>
      <c r="AK62" s="12"/>
      <c r="AL62" s="11" t="str" cm="1">
        <f t="array" ref="AL62">IFERROR(_xlfn.XLOOKUP($I62,#REF!,_xlfn.XLOOKUP(AL$10,#REF!,#REF!,"",0,1),""),"")</f>
        <v/>
      </c>
      <c r="AM62" s="11" t="str" cm="1">
        <f t="array" ref="AM62">IFERROR(_xlfn.XLOOKUP($I62,#REF!,_xlfn.XLOOKUP(AM$10,#REF!,#REF!,"",0,1),""),"")</f>
        <v/>
      </c>
      <c r="AN62" s="11" t="str" cm="1">
        <f t="array" ref="AN62">IFERROR(_xlfn.XLOOKUP($I62,#REF!,_xlfn.XLOOKUP(AN$10,#REF!,#REF!,"",0,1),""),"")</f>
        <v/>
      </c>
      <c r="AO62" s="11" t="str" cm="1">
        <f t="array" ref="AO62">IFERROR(_xlfn.XLOOKUP($I62,#REF!,_xlfn.XLOOKUP(AO$10,#REF!,#REF!,"",0,1),""),"")</f>
        <v/>
      </c>
      <c r="AP62" s="11" t="str" cm="1">
        <f t="array" ref="AP62">IFERROR(_xlfn.XLOOKUP($I62,#REF!,_xlfn.XLOOKUP(AP$10,#REF!,#REF!,"",0,1),""),"")</f>
        <v/>
      </c>
      <c r="AQ62" s="11" t="str" cm="1">
        <f t="array" ref="AQ62">IFERROR(_xlfn.XLOOKUP($I62,#REF!,_xlfn.XLOOKUP(AQ$10,#REF!,#REF!,"",0,1),""),"")</f>
        <v/>
      </c>
      <c r="AR62" s="12" t="str" cm="1">
        <f t="array" ref="AR62">IFERROR(_xlfn.XLOOKUP($I62,#REF!,_xlfn.XLOOKUP(AR$10,#REF!,#REF!,"",0,1),""),"")</f>
        <v/>
      </c>
      <c r="AS62" s="12" t="str" cm="1">
        <f t="array" ref="AS62">IFERROR(_xlfn.XLOOKUP($I62,#REF!,_xlfn.XLOOKUP(AS$10,#REF!,#REF!,"",0,1),""),"")</f>
        <v/>
      </c>
      <c r="AT62" s="12" t="str" cm="1">
        <f t="array" ref="AT62">IFERROR(_xlfn.XLOOKUP($I62,#REF!,_xlfn.XLOOKUP(AT$10,#REF!,#REF!,"",0,1),""),"")</f>
        <v/>
      </c>
      <c r="AU62" s="12" t="str" cm="1">
        <f t="array" ref="AU62">IFERROR(_xlfn.XLOOKUP($I62,#REF!,_xlfn.XLOOKUP(AU$10,#REF!,#REF!,"",0,1),""),"")</f>
        <v/>
      </c>
      <c r="AV62" s="12" t="str" cm="1">
        <f t="array" ref="AV62">IFERROR(_xlfn.XLOOKUP($I62,#REF!,_xlfn.XLOOKUP(AV$10,#REF!,#REF!,"",0,1),""),"")</f>
        <v/>
      </c>
      <c r="AW62" s="12" t="str">
        <f>IFERROR(_xlfn.XLOOKUP($I62,#REF!,#REF!,""),"")</f>
        <v/>
      </c>
      <c r="AX62" s="12" t="str">
        <f>IFERROR(_xlfn.XLOOKUP($I62,#REF!,#REF!,""),"")</f>
        <v/>
      </c>
      <c r="AY62" s="12" t="str">
        <f>IFERROR(_xlfn.XLOOKUP($I62,#REF!,#REF!,""),"")</f>
        <v/>
      </c>
      <c r="AZ62" s="11" t="str" cm="1">
        <f t="array" ref="AZ62">IFERROR(_xlfn.XLOOKUP($I62,#REF!,_xlfn.XLOOKUP(AZ$10,#REF!,#REF!,"",0,1),""),"")</f>
        <v/>
      </c>
      <c r="BA62" s="11" t="str" cm="1">
        <f t="array" ref="BA62">IFERROR(_xlfn.XLOOKUP($I62,#REF!,_xlfn.XLOOKUP(BA$10,#REF!,#REF!,"",0,1),""),"")</f>
        <v/>
      </c>
      <c r="BB62" s="11" t="str">
        <f>IFERROR(_xlfn.XLOOKUP($I62,#REF!,#REF!,""),"")</f>
        <v/>
      </c>
      <c r="BC62" s="11" t="str">
        <f>IFERROR(_xlfn.XLOOKUP($I62,#REF!,#REF!,""),"")</f>
        <v/>
      </c>
      <c r="BD62" s="12" t="str" cm="1">
        <f t="array" ref="BD62">IFERROR(_xlfn.XLOOKUP($I62,#REF!,_xlfn.XLOOKUP(BD$10,#REF!,#REF!,"",0,1),""),"")</f>
        <v/>
      </c>
      <c r="BE62" s="12" t="str" cm="1">
        <f t="array" ref="BE62">IFERROR(_xlfn.XLOOKUP($I62,#REF!,_xlfn.XLOOKUP(BE$10,#REF!,#REF!,"",0,1),""),"")</f>
        <v/>
      </c>
      <c r="BF62" s="12" t="str" cm="1">
        <f t="array" ref="BF62">IFERROR(_xlfn.XLOOKUP($I62,#REF!,_xlfn.XLOOKUP(BF$10,#REF!,#REF!,"",0,1),""),"")</f>
        <v/>
      </c>
      <c r="BG62" s="12" t="str" cm="1">
        <f t="array" ref="BG62">IFERROR(_xlfn.XLOOKUP($I62,#REF!,_xlfn.XLOOKUP(BG$10,#REF!,#REF!,"",0,1),""),"")</f>
        <v/>
      </c>
      <c r="BH62" s="12" t="str" cm="1">
        <f t="array" ref="BH62">IFERROR(_xlfn.XLOOKUP($I62,#REF!,_xlfn.XLOOKUP(BH$10,#REF!,#REF!,"",0,1),""),"")</f>
        <v/>
      </c>
      <c r="BI62" s="12" t="str" cm="1">
        <f t="array" ref="BI62">IFERROR(_xlfn.XLOOKUP($I62,#REF!,_xlfn.XLOOKUP(BI$10,#REF!,#REF!,"",0,1),""),"")</f>
        <v/>
      </c>
      <c r="BJ62" s="12" t="str" cm="1">
        <f t="array" ref="BJ62">IFERROR(_xlfn.XLOOKUP($I62,#REF!,_xlfn.XLOOKUP(BJ$10,#REF!,#REF!,"",0,1),""),"")</f>
        <v/>
      </c>
      <c r="BK62" s="12" t="str" cm="1">
        <f t="array" ref="BK62">IFERROR(_xlfn.XLOOKUP($I62,#REF!,_xlfn.XLOOKUP(BK$10,#REF!,#REF!,"",0,1),""),"")</f>
        <v/>
      </c>
      <c r="BL62" s="12" t="str" cm="1">
        <f t="array" ref="BL62">IFERROR(_xlfn.XLOOKUP($I62,#REF!,_xlfn.XLOOKUP(BL$10,#REF!,#REF!,"",0,1),""),"")</f>
        <v/>
      </c>
      <c r="BM62" s="12" t="str">
        <f>IFERROR(_xlfn.XLOOKUP($I62,#REF!,#REF!,""),"")</f>
        <v/>
      </c>
      <c r="BN62" s="12" t="str">
        <f>IFERROR(_xlfn.XLOOKUP($I62,#REF!,#REF!,""),"")</f>
        <v/>
      </c>
      <c r="BO62" s="12" t="str">
        <f>IFERROR(_xlfn.XLOOKUP($I62,#REF!,#REF!,""),"")</f>
        <v/>
      </c>
      <c r="BP62" s="12" t="str" cm="1">
        <f t="array" ref="BP62">IFERROR(_xlfn.XLOOKUP($I62,#REF!,_xlfn.XLOOKUP(BP$10,#REF!,#REF!,"",0,1),""),"")</f>
        <v/>
      </c>
      <c r="BQ62" s="12" t="str">
        <f>IFERROR(_xlfn.XLOOKUP($I62,#REF!,#REF!,""),"")</f>
        <v/>
      </c>
      <c r="BR62" s="12" t="str">
        <f>IFERROR(_xlfn.XLOOKUP($I62,#REF!,#REF!,""),"")</f>
        <v/>
      </c>
      <c r="BS62" s="12" t="str">
        <f>IFERROR(_xlfn.XLOOKUP($I62,#REF!,#REF!,""),"")</f>
        <v/>
      </c>
      <c r="BT62" s="11" t="str">
        <f>IFERROR(_xlfn.XLOOKUP($I62,#REF!,#REF!,""),"")</f>
        <v/>
      </c>
      <c r="BU62" s="11" t="str">
        <f>IFERROR(_xlfn.XLOOKUP($I62,#REF!,#REF!,""),"")</f>
        <v/>
      </c>
      <c r="BV62" s="32" t="str">
        <f>IFERROR(_xlfn.XLOOKUP($I62,#REF!,#REF!,""),"")</f>
        <v/>
      </c>
      <c r="BW62" s="12" t="str">
        <f>IFERROR(_xlfn.XLOOKUP($I62,#REF!,#REF!,""),"")</f>
        <v/>
      </c>
    </row>
    <row r="63" spans="3:75" ht="52.35" customHeight="1" x14ac:dyDescent="0.3">
      <c r="C63" s="22" t="str">
        <f>IFERROR(_xlfn.XLOOKUP($I63,#REF!,#REF!,""),"")</f>
        <v/>
      </c>
      <c r="D63" s="19" t="str">
        <f>IFERROR(_xlfn.XLOOKUP($I63,#REF!,#REF!,""),"")</f>
        <v/>
      </c>
      <c r="E63" s="23" t="str">
        <f>IFERROR(_xlfn.XLOOKUP($I63,#REF!,#REF!,""),"")</f>
        <v/>
      </c>
      <c r="F63" s="19" t="str">
        <f>IFERROR(_xlfn.XLOOKUP($I63,#REF!,#REF!,""),"")</f>
        <v/>
      </c>
      <c r="G63" s="19" t="str">
        <f>IFERROR(_xlfn.XLOOKUP($I63,#REF!,#REF!,""),"")</f>
        <v/>
      </c>
      <c r="H63" s="19" t="str">
        <f>IFERROR(_xlfn.XLOOKUP($I63,#REF!,#REF!,""),"")</f>
        <v/>
      </c>
      <c r="I63" s="77">
        <v>101660</v>
      </c>
      <c r="J63" s="12" t="str" cm="1">
        <f t="array" ref="J63">IFERROR(_xlfn.XLOOKUP($I63,#REF!,_xlfn.XLOOKUP(J$10,#REF!,#REF!,"",0,1),""),"")</f>
        <v/>
      </c>
      <c r="K63" s="12" t="str" cm="1">
        <f t="array" ref="K63">IFERROR(_xlfn.XLOOKUP($I63,#REF!,_xlfn.XLOOKUP(K$10,#REF!,#REF!,"",0,1),""),"")</f>
        <v/>
      </c>
      <c r="L63" s="12" t="str" cm="1">
        <f t="array" ref="L63">IFERROR(_xlfn.XLOOKUP($I63,#REF!,_xlfn.XLOOKUP(L$10,#REF!,#REF!,"",0,1),""),"")</f>
        <v/>
      </c>
      <c r="M63" s="36" t="str" cm="1">
        <f t="array" ref="M63">IFERROR(_xlfn.XLOOKUP($I63,#REF!,_xlfn.XLOOKUP(M$10,#REF!,#REF!,"",0,1),""),"")</f>
        <v/>
      </c>
      <c r="N63" s="37" t="str" cm="1">
        <f t="array" ref="N63">IFERROR(_xlfn.XLOOKUP($I63,#REF!,_xlfn.XLOOKUP(N$10,#REF!,#REF!,"",0,1),""),"")</f>
        <v/>
      </c>
      <c r="O63" s="12" t="str" cm="1">
        <f t="array" ref="O63">IFERROR(_xlfn.XLOOKUP($I63,#REF!,_xlfn.XLOOKUP(O$10,#REF!,#REF!,"",0,1),""),"")</f>
        <v/>
      </c>
      <c r="P63" s="12" t="str" cm="1">
        <f t="array" ref="P63">IFERROR(_xlfn.XLOOKUP($I63,#REF!,_xlfn.XLOOKUP(P$10,#REF!,#REF!,"",0,1),""),"")</f>
        <v/>
      </c>
      <c r="Q63" s="12" t="str" cm="1">
        <f t="array" ref="Q63">IFERROR(_xlfn.XLOOKUP($I63,#REF!,_xlfn.XLOOKUP(Q$10,#REF!,#REF!,"",0,1),""),"")</f>
        <v/>
      </c>
      <c r="R63" s="12" t="str" cm="1">
        <f t="array" ref="R63">IFERROR(_xlfn.XLOOKUP($I63,#REF!,_xlfn.XLOOKUP(R$10,#REF!,#REF!,"",0,1),""),"")</f>
        <v/>
      </c>
      <c r="S63" s="12" t="str">
        <f>IFERROR(_xlfn.XLOOKUP($I63,#REF!,#REF!,""),"")</f>
        <v/>
      </c>
      <c r="T63" s="12" t="str">
        <f>IFERROR(_xlfn.XLOOKUP($I63,#REF!,#REF!,""),"")</f>
        <v/>
      </c>
      <c r="U63" s="12" t="str">
        <f>IFERROR(_xlfn.XLOOKUP($I63,#REF!,#REF!,""),"")</f>
        <v/>
      </c>
      <c r="V63" s="12" t="str">
        <f>IFERROR(_xlfn.XLOOKUP($I63,#REF!,#REF!,""),"")</f>
        <v/>
      </c>
      <c r="W63" s="74" t="str" cm="1">
        <f t="array" ref="W63">IFERROR(_xlfn.XLOOKUP($I63,#REF!,_xlfn.XLOOKUP(W$10,#REF!,#REF!,"",0,1),""),"")</f>
        <v/>
      </c>
      <c r="X63" s="74" t="str" cm="1">
        <f t="array" ref="X63">IFERROR(_xlfn.XLOOKUP($I63,#REF!,_xlfn.XLOOKUP(X$10,#REF!,#REF!,"",0,1),""),"")</f>
        <v/>
      </c>
      <c r="Y63" s="74" t="str" cm="1">
        <f t="array" ref="Y63">IFERROR(_xlfn.XLOOKUP($I63,#REF!,_xlfn.XLOOKUP(Y$10,#REF!,#REF!,"",0,1),""),"")</f>
        <v/>
      </c>
      <c r="Z63" s="74" t="str" cm="1">
        <f t="array" ref="Z63">IFERROR(_xlfn.XLOOKUP($I63,#REF!,_xlfn.XLOOKUP(Z$10,#REF!,#REF!,"",0,1),""),"")</f>
        <v/>
      </c>
      <c r="AA63" s="74" t="str" cm="1">
        <f t="array" ref="AA63">IFERROR(_xlfn.XLOOKUP($I63,#REF!,_xlfn.XLOOKUP(AA$10,#REF!,#REF!,"",0,1),""),"")</f>
        <v/>
      </c>
      <c r="AB63" s="12" t="str" cm="1">
        <f t="array" ref="AB63">IFERROR(_xlfn.XLOOKUP($I63,#REF!,_xlfn.XLOOKUP(AB$10,#REF!,#REF!,"",0,1),""),"")</f>
        <v/>
      </c>
      <c r="AC63" s="52" t="str" cm="1">
        <f t="array" ref="AC63">IFERROR(_xlfn.XLOOKUP($I63,#REF!,_xlfn.XLOOKUP(AC$10,#REF!,#REF!,"",0,1),""),"")</f>
        <v/>
      </c>
      <c r="AD63" s="12" t="str" cm="1">
        <f t="array" ref="AD63">IFERROR(_xlfn.XLOOKUP($I63,#REF!,_xlfn.XLOOKUP(AD$10,#REF!,#REF!,"",0,1),""),"")</f>
        <v/>
      </c>
      <c r="AE63" s="12"/>
      <c r="AF63" s="12" t="str" cm="1">
        <f t="array" ref="AF63">IFERROR(_xlfn.XLOOKUP($I63,#REF!,_xlfn.XLOOKUP(AF$10,#REF!,#REF!,"",0,1),""),"")</f>
        <v/>
      </c>
      <c r="AG63" s="12" t="str" cm="1">
        <f t="array" ref="AG63">IFERROR(_xlfn.XLOOKUP($I63,#REF!,_xlfn.XLOOKUP(AG$10,#REF!,#REF!,"",0,1),""),"")</f>
        <v/>
      </c>
      <c r="AH63" s="12" t="str" cm="1">
        <f t="array" ref="AH63">IFERROR(_xlfn.XLOOKUP($I63,#REF!,_xlfn.XLOOKUP(AH$10,#REF!,#REF!,"",0,1),""),"")</f>
        <v/>
      </c>
      <c r="AI63" s="12" t="str" cm="1">
        <f t="array" ref="AI63">IFERROR(_xlfn.XLOOKUP($I63,#REF!,_xlfn.XLOOKUP(AI$10,#REF!,#REF!,"",0,1),""),"")</f>
        <v/>
      </c>
      <c r="AJ63" s="12"/>
      <c r="AK63" s="12"/>
      <c r="AL63" s="11" t="str" cm="1">
        <f t="array" ref="AL63">IFERROR(_xlfn.XLOOKUP($I63,#REF!,_xlfn.XLOOKUP(AL$10,#REF!,#REF!,"",0,1),""),"")</f>
        <v/>
      </c>
      <c r="AM63" s="11" t="str" cm="1">
        <f t="array" ref="AM63">IFERROR(_xlfn.XLOOKUP($I63,#REF!,_xlfn.XLOOKUP(AM$10,#REF!,#REF!,"",0,1),""),"")</f>
        <v/>
      </c>
      <c r="AN63" s="11" t="str" cm="1">
        <f t="array" ref="AN63">IFERROR(_xlfn.XLOOKUP($I63,#REF!,_xlfn.XLOOKUP(AN$10,#REF!,#REF!,"",0,1),""),"")</f>
        <v/>
      </c>
      <c r="AO63" s="11" t="str" cm="1">
        <f t="array" ref="AO63">IFERROR(_xlfn.XLOOKUP($I63,#REF!,_xlfn.XLOOKUP(AO$10,#REF!,#REF!,"",0,1),""),"")</f>
        <v/>
      </c>
      <c r="AP63" s="11" t="str" cm="1">
        <f t="array" ref="AP63">IFERROR(_xlfn.XLOOKUP($I63,#REF!,_xlfn.XLOOKUP(AP$10,#REF!,#REF!,"",0,1),""),"")</f>
        <v/>
      </c>
      <c r="AQ63" s="11" t="str" cm="1">
        <f t="array" ref="AQ63">IFERROR(_xlfn.XLOOKUP($I63,#REF!,_xlfn.XLOOKUP(AQ$10,#REF!,#REF!,"",0,1),""),"")</f>
        <v/>
      </c>
      <c r="AR63" s="12" t="str" cm="1">
        <f t="array" ref="AR63">IFERROR(_xlfn.XLOOKUP($I63,#REF!,_xlfn.XLOOKUP(AR$10,#REF!,#REF!,"",0,1),""),"")</f>
        <v/>
      </c>
      <c r="AS63" s="12" t="str" cm="1">
        <f t="array" ref="AS63">IFERROR(_xlfn.XLOOKUP($I63,#REF!,_xlfn.XLOOKUP(AS$10,#REF!,#REF!,"",0,1),""),"")</f>
        <v/>
      </c>
      <c r="AT63" s="12" t="str" cm="1">
        <f t="array" ref="AT63">IFERROR(_xlfn.XLOOKUP($I63,#REF!,_xlfn.XLOOKUP(AT$10,#REF!,#REF!,"",0,1),""),"")</f>
        <v/>
      </c>
      <c r="AU63" s="12" t="str" cm="1">
        <f t="array" ref="AU63">IFERROR(_xlfn.XLOOKUP($I63,#REF!,_xlfn.XLOOKUP(AU$10,#REF!,#REF!,"",0,1),""),"")</f>
        <v/>
      </c>
      <c r="AV63" s="12" t="str" cm="1">
        <f t="array" ref="AV63">IFERROR(_xlfn.XLOOKUP($I63,#REF!,_xlfn.XLOOKUP(AV$10,#REF!,#REF!,"",0,1),""),"")</f>
        <v/>
      </c>
      <c r="AW63" s="12" t="str">
        <f>IFERROR(_xlfn.XLOOKUP($I63,#REF!,#REF!,""),"")</f>
        <v/>
      </c>
      <c r="AX63" s="12" t="str">
        <f>IFERROR(_xlfn.XLOOKUP($I63,#REF!,#REF!,""),"")</f>
        <v/>
      </c>
      <c r="AY63" s="12" t="str">
        <f>IFERROR(_xlfn.XLOOKUP($I63,#REF!,#REF!,""),"")</f>
        <v/>
      </c>
      <c r="AZ63" s="11" t="str" cm="1">
        <f t="array" ref="AZ63">IFERROR(_xlfn.XLOOKUP($I63,#REF!,_xlfn.XLOOKUP(AZ$10,#REF!,#REF!,"",0,1),""),"")</f>
        <v/>
      </c>
      <c r="BA63" s="11" t="str" cm="1">
        <f t="array" ref="BA63">IFERROR(_xlfn.XLOOKUP($I63,#REF!,_xlfn.XLOOKUP(BA$10,#REF!,#REF!,"",0,1),""),"")</f>
        <v/>
      </c>
      <c r="BB63" s="11" t="str">
        <f>IFERROR(_xlfn.XLOOKUP($I63,#REF!,#REF!,""),"")</f>
        <v/>
      </c>
      <c r="BC63" s="11" t="str">
        <f>IFERROR(_xlfn.XLOOKUP($I63,#REF!,#REF!,""),"")</f>
        <v/>
      </c>
      <c r="BD63" s="12" t="str" cm="1">
        <f t="array" ref="BD63">IFERROR(_xlfn.XLOOKUP($I63,#REF!,_xlfn.XLOOKUP(BD$10,#REF!,#REF!,"",0,1),""),"")</f>
        <v/>
      </c>
      <c r="BE63" s="12" t="str" cm="1">
        <f t="array" ref="BE63">IFERROR(_xlfn.XLOOKUP($I63,#REF!,_xlfn.XLOOKUP(BE$10,#REF!,#REF!,"",0,1),""),"")</f>
        <v/>
      </c>
      <c r="BF63" s="12" t="str" cm="1">
        <f t="array" ref="BF63">IFERROR(_xlfn.XLOOKUP($I63,#REF!,_xlfn.XLOOKUP(BF$10,#REF!,#REF!,"",0,1),""),"")</f>
        <v/>
      </c>
      <c r="BG63" s="12" t="str" cm="1">
        <f t="array" ref="BG63">IFERROR(_xlfn.XLOOKUP($I63,#REF!,_xlfn.XLOOKUP(BG$10,#REF!,#REF!,"",0,1),""),"")</f>
        <v/>
      </c>
      <c r="BH63" s="12" t="str" cm="1">
        <f t="array" ref="BH63">IFERROR(_xlfn.XLOOKUP($I63,#REF!,_xlfn.XLOOKUP(BH$10,#REF!,#REF!,"",0,1),""),"")</f>
        <v/>
      </c>
      <c r="BI63" s="12" t="str" cm="1">
        <f t="array" ref="BI63">IFERROR(_xlfn.XLOOKUP($I63,#REF!,_xlfn.XLOOKUP(BI$10,#REF!,#REF!,"",0,1),""),"")</f>
        <v/>
      </c>
      <c r="BJ63" s="12" t="str" cm="1">
        <f t="array" ref="BJ63">IFERROR(_xlfn.XLOOKUP($I63,#REF!,_xlfn.XLOOKUP(BJ$10,#REF!,#REF!,"",0,1),""),"")</f>
        <v/>
      </c>
      <c r="BK63" s="12" t="str" cm="1">
        <f t="array" ref="BK63">IFERROR(_xlfn.XLOOKUP($I63,#REF!,_xlfn.XLOOKUP(BK$10,#REF!,#REF!,"",0,1),""),"")</f>
        <v/>
      </c>
      <c r="BL63" s="12" t="str" cm="1">
        <f t="array" ref="BL63">IFERROR(_xlfn.XLOOKUP($I63,#REF!,_xlfn.XLOOKUP(BL$10,#REF!,#REF!,"",0,1),""),"")</f>
        <v/>
      </c>
      <c r="BM63" s="12" t="str">
        <f>IFERROR(_xlfn.XLOOKUP($I63,#REF!,#REF!,""),"")</f>
        <v/>
      </c>
      <c r="BN63" s="12" t="str">
        <f>IFERROR(_xlfn.XLOOKUP($I63,#REF!,#REF!,""),"")</f>
        <v/>
      </c>
      <c r="BO63" s="12" t="str">
        <f>IFERROR(_xlfn.XLOOKUP($I63,#REF!,#REF!,""),"")</f>
        <v/>
      </c>
      <c r="BP63" s="12" t="str" cm="1">
        <f t="array" ref="BP63">IFERROR(_xlfn.XLOOKUP($I63,#REF!,_xlfn.XLOOKUP(BP$10,#REF!,#REF!,"",0,1),""),"")</f>
        <v/>
      </c>
      <c r="BQ63" s="12" t="str">
        <f>IFERROR(_xlfn.XLOOKUP($I63,#REF!,#REF!,""),"")</f>
        <v/>
      </c>
      <c r="BR63" s="12" t="str">
        <f>IFERROR(_xlfn.XLOOKUP($I63,#REF!,#REF!,""),"")</f>
        <v/>
      </c>
      <c r="BS63" s="12" t="str">
        <f>IFERROR(_xlfn.XLOOKUP($I63,#REF!,#REF!,""),"")</f>
        <v/>
      </c>
      <c r="BT63" s="11" t="str">
        <f>IFERROR(_xlfn.XLOOKUP($I63,#REF!,#REF!,""),"")</f>
        <v/>
      </c>
      <c r="BU63" s="11" t="str">
        <f>IFERROR(_xlfn.XLOOKUP($I63,#REF!,#REF!,""),"")</f>
        <v/>
      </c>
      <c r="BV63" s="32" t="str">
        <f>IFERROR(_xlfn.XLOOKUP($I63,#REF!,#REF!,""),"")</f>
        <v/>
      </c>
      <c r="BW63" s="12" t="str">
        <f>IFERROR(_xlfn.XLOOKUP($I63,#REF!,#REF!,""),"")</f>
        <v/>
      </c>
    </row>
    <row r="64" spans="3:75" ht="52.35" customHeight="1" x14ac:dyDescent="0.3">
      <c r="C64" s="22" t="str">
        <f>IFERROR(_xlfn.XLOOKUP($I64,#REF!,#REF!,""),"")</f>
        <v/>
      </c>
      <c r="D64" s="19" t="str">
        <f>IFERROR(_xlfn.XLOOKUP($I64,#REF!,#REF!,""),"")</f>
        <v/>
      </c>
      <c r="E64" s="23" t="str">
        <f>IFERROR(_xlfn.XLOOKUP($I64,#REF!,#REF!,""),"")</f>
        <v/>
      </c>
      <c r="F64" s="19" t="str">
        <f>IFERROR(_xlfn.XLOOKUP($I64,#REF!,#REF!,""),"")</f>
        <v/>
      </c>
      <c r="G64" s="19" t="str">
        <f>IFERROR(_xlfn.XLOOKUP($I64,#REF!,#REF!,""),"")</f>
        <v/>
      </c>
      <c r="H64" s="19" t="str">
        <f>IFERROR(_xlfn.XLOOKUP($I64,#REF!,#REF!,""),"")</f>
        <v/>
      </c>
      <c r="I64" s="77">
        <v>110642</v>
      </c>
      <c r="J64" s="12" t="str" cm="1">
        <f t="array" ref="J64">IFERROR(_xlfn.XLOOKUP($I64,#REF!,_xlfn.XLOOKUP(J$10,#REF!,#REF!,"",0,1),""),"")</f>
        <v/>
      </c>
      <c r="K64" s="12" t="str" cm="1">
        <f t="array" ref="K64">IFERROR(_xlfn.XLOOKUP($I64,#REF!,_xlfn.XLOOKUP(K$10,#REF!,#REF!,"",0,1),""),"")</f>
        <v/>
      </c>
      <c r="L64" s="12" t="str" cm="1">
        <f t="array" ref="L64">IFERROR(_xlfn.XLOOKUP($I64,#REF!,_xlfn.XLOOKUP(L$10,#REF!,#REF!,"",0,1),""),"")</f>
        <v/>
      </c>
      <c r="M64" s="36" t="str" cm="1">
        <f t="array" ref="M64">IFERROR(_xlfn.XLOOKUP($I64,#REF!,_xlfn.XLOOKUP(M$10,#REF!,#REF!,"",0,1),""),"")</f>
        <v/>
      </c>
      <c r="N64" s="37" t="str" cm="1">
        <f t="array" ref="N64">IFERROR(_xlfn.XLOOKUP($I64,#REF!,_xlfn.XLOOKUP(N$10,#REF!,#REF!,"",0,1),""),"")</f>
        <v/>
      </c>
      <c r="O64" s="12" t="str" cm="1">
        <f t="array" ref="O64">IFERROR(_xlfn.XLOOKUP($I64,#REF!,_xlfn.XLOOKUP(O$10,#REF!,#REF!,"",0,1),""),"")</f>
        <v/>
      </c>
      <c r="P64" s="12" t="str" cm="1">
        <f t="array" ref="P64">IFERROR(_xlfn.XLOOKUP($I64,#REF!,_xlfn.XLOOKUP(P$10,#REF!,#REF!,"",0,1),""),"")</f>
        <v/>
      </c>
      <c r="Q64" s="12" t="str" cm="1">
        <f t="array" ref="Q64">IFERROR(_xlfn.XLOOKUP($I64,#REF!,_xlfn.XLOOKUP(Q$10,#REF!,#REF!,"",0,1),""),"")</f>
        <v/>
      </c>
      <c r="R64" s="12" t="str" cm="1">
        <f t="array" ref="R64">IFERROR(_xlfn.XLOOKUP($I64,#REF!,_xlfn.XLOOKUP(R$10,#REF!,#REF!,"",0,1),""),"")</f>
        <v/>
      </c>
      <c r="S64" s="12" t="str">
        <f>IFERROR(_xlfn.XLOOKUP($I64,#REF!,#REF!,""),"")</f>
        <v/>
      </c>
      <c r="T64" s="12" t="str">
        <f>IFERROR(_xlfn.XLOOKUP($I64,#REF!,#REF!,""),"")</f>
        <v/>
      </c>
      <c r="U64" s="12" t="str">
        <f>IFERROR(_xlfn.XLOOKUP($I64,#REF!,#REF!,""),"")</f>
        <v/>
      </c>
      <c r="V64" s="12" t="str">
        <f>IFERROR(_xlfn.XLOOKUP($I64,#REF!,#REF!,""),"")</f>
        <v/>
      </c>
      <c r="W64" s="74" t="str" cm="1">
        <f t="array" ref="W64">IFERROR(_xlfn.XLOOKUP($I64,#REF!,_xlfn.XLOOKUP(W$10,#REF!,#REF!,"",0,1),""),"")</f>
        <v/>
      </c>
      <c r="X64" s="74" t="str" cm="1">
        <f t="array" ref="X64">IFERROR(_xlfn.XLOOKUP($I64,#REF!,_xlfn.XLOOKUP(X$10,#REF!,#REF!,"",0,1),""),"")</f>
        <v/>
      </c>
      <c r="Y64" s="74" t="str" cm="1">
        <f t="array" ref="Y64">IFERROR(_xlfn.XLOOKUP($I64,#REF!,_xlfn.XLOOKUP(Y$10,#REF!,#REF!,"",0,1),""),"")</f>
        <v/>
      </c>
      <c r="Z64" s="74" t="str" cm="1">
        <f t="array" ref="Z64">IFERROR(_xlfn.XLOOKUP($I64,#REF!,_xlfn.XLOOKUP(Z$10,#REF!,#REF!,"",0,1),""),"")</f>
        <v/>
      </c>
      <c r="AA64" s="74" t="str" cm="1">
        <f t="array" ref="AA64">IFERROR(_xlfn.XLOOKUP($I64,#REF!,_xlfn.XLOOKUP(AA$10,#REF!,#REF!,"",0,1),""),"")</f>
        <v/>
      </c>
      <c r="AB64" s="12" t="str" cm="1">
        <f t="array" ref="AB64">IFERROR(_xlfn.XLOOKUP($I64,#REF!,_xlfn.XLOOKUP(AB$10,#REF!,#REF!,"",0,1),""),"")</f>
        <v/>
      </c>
      <c r="AC64" s="52" t="str" cm="1">
        <f t="array" ref="AC64">IFERROR(_xlfn.XLOOKUP($I64,#REF!,_xlfn.XLOOKUP(AC$10,#REF!,#REF!,"",0,1),""),"")</f>
        <v/>
      </c>
      <c r="AD64" s="12" t="str" cm="1">
        <f t="array" ref="AD64">IFERROR(_xlfn.XLOOKUP($I64,#REF!,_xlfn.XLOOKUP(AD$10,#REF!,#REF!,"",0,1),""),"")</f>
        <v/>
      </c>
      <c r="AE64" s="12"/>
      <c r="AF64" s="12" t="str" cm="1">
        <f t="array" ref="AF64">IFERROR(_xlfn.XLOOKUP($I64,#REF!,_xlfn.XLOOKUP(AF$10,#REF!,#REF!,"",0,1),""),"")</f>
        <v/>
      </c>
      <c r="AG64" s="12" t="str" cm="1">
        <f t="array" ref="AG64">IFERROR(_xlfn.XLOOKUP($I64,#REF!,_xlfn.XLOOKUP(AG$10,#REF!,#REF!,"",0,1),""),"")</f>
        <v/>
      </c>
      <c r="AH64" s="12" t="str" cm="1">
        <f t="array" ref="AH64">IFERROR(_xlfn.XLOOKUP($I64,#REF!,_xlfn.XLOOKUP(AH$10,#REF!,#REF!,"",0,1),""),"")</f>
        <v/>
      </c>
      <c r="AI64" s="12" t="str" cm="1">
        <f t="array" ref="AI64">IFERROR(_xlfn.XLOOKUP($I64,#REF!,_xlfn.XLOOKUP(AI$10,#REF!,#REF!,"",0,1),""),"")</f>
        <v/>
      </c>
      <c r="AJ64" s="12"/>
      <c r="AK64" s="12"/>
      <c r="AL64" s="11" t="str" cm="1">
        <f t="array" ref="AL64">IFERROR(_xlfn.XLOOKUP($I64,#REF!,_xlfn.XLOOKUP(AL$10,#REF!,#REF!,"",0,1),""),"")</f>
        <v/>
      </c>
      <c r="AM64" s="11" t="str" cm="1">
        <f t="array" ref="AM64">IFERROR(_xlfn.XLOOKUP($I64,#REF!,_xlfn.XLOOKUP(AM$10,#REF!,#REF!,"",0,1),""),"")</f>
        <v/>
      </c>
      <c r="AN64" s="11" t="str" cm="1">
        <f t="array" ref="AN64">IFERROR(_xlfn.XLOOKUP($I64,#REF!,_xlfn.XLOOKUP(AN$10,#REF!,#REF!,"",0,1),""),"")</f>
        <v/>
      </c>
      <c r="AO64" s="11" t="str" cm="1">
        <f t="array" ref="AO64">IFERROR(_xlfn.XLOOKUP($I64,#REF!,_xlfn.XLOOKUP(AO$10,#REF!,#REF!,"",0,1),""),"")</f>
        <v/>
      </c>
      <c r="AP64" s="11" t="str" cm="1">
        <f t="array" ref="AP64">IFERROR(_xlfn.XLOOKUP($I64,#REF!,_xlfn.XLOOKUP(AP$10,#REF!,#REF!,"",0,1),""),"")</f>
        <v/>
      </c>
      <c r="AQ64" s="11" t="str" cm="1">
        <f t="array" ref="AQ64">IFERROR(_xlfn.XLOOKUP($I64,#REF!,_xlfn.XLOOKUP(AQ$10,#REF!,#REF!,"",0,1),""),"")</f>
        <v/>
      </c>
      <c r="AR64" s="12" t="str" cm="1">
        <f t="array" ref="AR64">IFERROR(_xlfn.XLOOKUP($I64,#REF!,_xlfn.XLOOKUP(AR$10,#REF!,#REF!,"",0,1),""),"")</f>
        <v/>
      </c>
      <c r="AS64" s="12" t="str" cm="1">
        <f t="array" ref="AS64">IFERROR(_xlfn.XLOOKUP($I64,#REF!,_xlfn.XLOOKUP(AS$10,#REF!,#REF!,"",0,1),""),"")</f>
        <v/>
      </c>
      <c r="AT64" s="12" t="str" cm="1">
        <f t="array" ref="AT64">IFERROR(_xlfn.XLOOKUP($I64,#REF!,_xlfn.XLOOKUP(AT$10,#REF!,#REF!,"",0,1),""),"")</f>
        <v/>
      </c>
      <c r="AU64" s="12" t="str" cm="1">
        <f t="array" ref="AU64">IFERROR(_xlfn.XLOOKUP($I64,#REF!,_xlfn.XLOOKUP(AU$10,#REF!,#REF!,"",0,1),""),"")</f>
        <v/>
      </c>
      <c r="AV64" s="12" t="str" cm="1">
        <f t="array" ref="AV64">IFERROR(_xlfn.XLOOKUP($I64,#REF!,_xlfn.XLOOKUP(AV$10,#REF!,#REF!,"",0,1),""),"")</f>
        <v/>
      </c>
      <c r="AW64" s="12" t="str">
        <f>IFERROR(_xlfn.XLOOKUP($I64,#REF!,#REF!,""),"")</f>
        <v/>
      </c>
      <c r="AX64" s="12" t="str">
        <f>IFERROR(_xlfn.XLOOKUP($I64,#REF!,#REF!,""),"")</f>
        <v/>
      </c>
      <c r="AY64" s="12" t="str">
        <f>IFERROR(_xlfn.XLOOKUP($I64,#REF!,#REF!,""),"")</f>
        <v/>
      </c>
      <c r="AZ64" s="11" t="str" cm="1">
        <f t="array" ref="AZ64">IFERROR(_xlfn.XLOOKUP($I64,#REF!,_xlfn.XLOOKUP(AZ$10,#REF!,#REF!,"",0,1),""),"")</f>
        <v/>
      </c>
      <c r="BA64" s="11" t="str" cm="1">
        <f t="array" ref="BA64">IFERROR(_xlfn.XLOOKUP($I64,#REF!,_xlfn.XLOOKUP(BA$10,#REF!,#REF!,"",0,1),""),"")</f>
        <v/>
      </c>
      <c r="BB64" s="11" t="str">
        <f>IFERROR(_xlfn.XLOOKUP($I64,#REF!,#REF!,""),"")</f>
        <v/>
      </c>
      <c r="BC64" s="11" t="str">
        <f>IFERROR(_xlfn.XLOOKUP($I64,#REF!,#REF!,""),"")</f>
        <v/>
      </c>
      <c r="BD64" s="12" t="str" cm="1">
        <f t="array" ref="BD64">IFERROR(_xlfn.XLOOKUP($I64,#REF!,_xlfn.XLOOKUP(BD$10,#REF!,#REF!,"",0,1),""),"")</f>
        <v/>
      </c>
      <c r="BE64" s="12" t="str" cm="1">
        <f t="array" ref="BE64">IFERROR(_xlfn.XLOOKUP($I64,#REF!,_xlfn.XLOOKUP(BE$10,#REF!,#REF!,"",0,1),""),"")</f>
        <v/>
      </c>
      <c r="BF64" s="12" t="str" cm="1">
        <f t="array" ref="BF64">IFERROR(_xlfn.XLOOKUP($I64,#REF!,_xlfn.XLOOKUP(BF$10,#REF!,#REF!,"",0,1),""),"")</f>
        <v/>
      </c>
      <c r="BG64" s="12" t="str" cm="1">
        <f t="array" ref="BG64">IFERROR(_xlfn.XLOOKUP($I64,#REF!,_xlfn.XLOOKUP(BG$10,#REF!,#REF!,"",0,1),""),"")</f>
        <v/>
      </c>
      <c r="BH64" s="12" t="str" cm="1">
        <f t="array" ref="BH64">IFERROR(_xlfn.XLOOKUP($I64,#REF!,_xlfn.XLOOKUP(BH$10,#REF!,#REF!,"",0,1),""),"")</f>
        <v/>
      </c>
      <c r="BI64" s="12" t="str" cm="1">
        <f t="array" ref="BI64">IFERROR(_xlfn.XLOOKUP($I64,#REF!,_xlfn.XLOOKUP(BI$10,#REF!,#REF!,"",0,1),""),"")</f>
        <v/>
      </c>
      <c r="BJ64" s="12" t="str" cm="1">
        <f t="array" ref="BJ64">IFERROR(_xlfn.XLOOKUP($I64,#REF!,_xlfn.XLOOKUP(BJ$10,#REF!,#REF!,"",0,1),""),"")</f>
        <v/>
      </c>
      <c r="BK64" s="12" t="str" cm="1">
        <f t="array" ref="BK64">IFERROR(_xlfn.XLOOKUP($I64,#REF!,_xlfn.XLOOKUP(BK$10,#REF!,#REF!,"",0,1),""),"")</f>
        <v/>
      </c>
      <c r="BL64" s="12" t="str" cm="1">
        <f t="array" ref="BL64">IFERROR(_xlfn.XLOOKUP($I64,#REF!,_xlfn.XLOOKUP(BL$10,#REF!,#REF!,"",0,1),""),"")</f>
        <v/>
      </c>
      <c r="BM64" s="12" t="str">
        <f>IFERROR(_xlfn.XLOOKUP($I64,#REF!,#REF!,""),"")</f>
        <v/>
      </c>
      <c r="BN64" s="12" t="str">
        <f>IFERROR(_xlfn.XLOOKUP($I64,#REF!,#REF!,""),"")</f>
        <v/>
      </c>
      <c r="BO64" s="12" t="str">
        <f>IFERROR(_xlfn.XLOOKUP($I64,#REF!,#REF!,""),"")</f>
        <v/>
      </c>
      <c r="BP64" s="12" t="str" cm="1">
        <f t="array" ref="BP64">IFERROR(_xlfn.XLOOKUP($I64,#REF!,_xlfn.XLOOKUP(BP$10,#REF!,#REF!,"",0,1),""),"")</f>
        <v/>
      </c>
      <c r="BQ64" s="12" t="str">
        <f>IFERROR(_xlfn.XLOOKUP($I64,#REF!,#REF!,""),"")</f>
        <v/>
      </c>
      <c r="BR64" s="12" t="str">
        <f>IFERROR(_xlfn.XLOOKUP($I64,#REF!,#REF!,""),"")</f>
        <v/>
      </c>
      <c r="BS64" s="12" t="str">
        <f>IFERROR(_xlfn.XLOOKUP($I64,#REF!,#REF!,""),"")</f>
        <v/>
      </c>
      <c r="BT64" s="11" t="str">
        <f>IFERROR(_xlfn.XLOOKUP($I64,#REF!,#REF!,""),"")</f>
        <v/>
      </c>
      <c r="BU64" s="11" t="str">
        <f>IFERROR(_xlfn.XLOOKUP($I64,#REF!,#REF!,""),"")</f>
        <v/>
      </c>
      <c r="BV64" s="32" t="str">
        <f>IFERROR(_xlfn.XLOOKUP($I64,#REF!,#REF!,""),"")</f>
        <v/>
      </c>
      <c r="BW64" s="12" t="str">
        <f>IFERROR(_xlfn.XLOOKUP($I64,#REF!,#REF!,""),"")</f>
        <v/>
      </c>
    </row>
    <row r="65" spans="3:75" ht="69.599999999999994" customHeight="1" x14ac:dyDescent="0.3">
      <c r="C65" s="22" t="str">
        <f>IFERROR(_xlfn.XLOOKUP($I65,#REF!,#REF!,""),"")</f>
        <v/>
      </c>
      <c r="D65" s="19" t="str">
        <f>IFERROR(_xlfn.XLOOKUP($I65,#REF!,#REF!,""),"")</f>
        <v/>
      </c>
      <c r="E65" s="23" t="str">
        <f>IFERROR(_xlfn.XLOOKUP($I65,#REF!,#REF!,""),"")</f>
        <v/>
      </c>
      <c r="F65" s="19" t="str">
        <f>IFERROR(_xlfn.XLOOKUP($I65,#REF!,#REF!,""),"")</f>
        <v/>
      </c>
      <c r="G65" s="19" t="str">
        <f>IFERROR(_xlfn.XLOOKUP($I65,#REF!,#REF!,""),"")</f>
        <v/>
      </c>
      <c r="H65" s="19" t="str">
        <f>IFERROR(_xlfn.XLOOKUP($I65,#REF!,#REF!,""),"")</f>
        <v/>
      </c>
      <c r="I65" s="77">
        <v>3208</v>
      </c>
      <c r="J65" s="12" t="str" cm="1">
        <f t="array" ref="J65">IFERROR(_xlfn.XLOOKUP($I65,#REF!,_xlfn.XLOOKUP(J$10,#REF!,#REF!,"",0,1),""),"")</f>
        <v/>
      </c>
      <c r="K65" s="12" t="str" cm="1">
        <f t="array" ref="K65">IFERROR(_xlfn.XLOOKUP($I65,#REF!,_xlfn.XLOOKUP(K$10,#REF!,#REF!,"",0,1),""),"")</f>
        <v/>
      </c>
      <c r="L65" s="12" t="str" cm="1">
        <f t="array" ref="L65">IFERROR(_xlfn.XLOOKUP($I65,#REF!,_xlfn.XLOOKUP(L$10,#REF!,#REF!,"",0,1),""),"")</f>
        <v/>
      </c>
      <c r="M65" s="36" t="str" cm="1">
        <f t="array" ref="M65">IFERROR(_xlfn.XLOOKUP($I65,#REF!,_xlfn.XLOOKUP(M$10,#REF!,#REF!,"",0,1),""),"")</f>
        <v/>
      </c>
      <c r="N65" s="37" t="str" cm="1">
        <f t="array" ref="N65">IFERROR(_xlfn.XLOOKUP($I65,#REF!,_xlfn.XLOOKUP(N$10,#REF!,#REF!,"",0,1),""),"")</f>
        <v/>
      </c>
      <c r="O65" s="12" t="str" cm="1">
        <f t="array" ref="O65">IFERROR(_xlfn.XLOOKUP($I65,#REF!,_xlfn.XLOOKUP(O$10,#REF!,#REF!,"",0,1),""),"")</f>
        <v/>
      </c>
      <c r="P65" s="12" t="str" cm="1">
        <f t="array" ref="P65">IFERROR(_xlfn.XLOOKUP($I65,#REF!,_xlfn.XLOOKUP(P$10,#REF!,#REF!,"",0,1),""),"")</f>
        <v/>
      </c>
      <c r="Q65" s="12" t="str" cm="1">
        <f t="array" ref="Q65">IFERROR(_xlfn.XLOOKUP($I65,#REF!,_xlfn.XLOOKUP(Q$10,#REF!,#REF!,"",0,1),""),"")</f>
        <v/>
      </c>
      <c r="R65" s="12" t="str" cm="1">
        <f t="array" ref="R65">IFERROR(_xlfn.XLOOKUP($I65,#REF!,_xlfn.XLOOKUP(R$10,#REF!,#REF!,"",0,1),""),"")</f>
        <v/>
      </c>
      <c r="S65" s="12" t="str">
        <f>IFERROR(_xlfn.XLOOKUP($I65,#REF!,#REF!,""),"")</f>
        <v/>
      </c>
      <c r="T65" s="12" t="str">
        <f>IFERROR(_xlfn.XLOOKUP($I65,#REF!,#REF!,""),"")</f>
        <v/>
      </c>
      <c r="U65" s="12" t="str">
        <f>IFERROR(_xlfn.XLOOKUP($I65,#REF!,#REF!,""),"")</f>
        <v/>
      </c>
      <c r="V65" s="12" t="str">
        <f>IFERROR(_xlfn.XLOOKUP($I65,#REF!,#REF!,""),"")</f>
        <v/>
      </c>
      <c r="W65" s="74" t="str" cm="1">
        <f t="array" ref="W65">IFERROR(_xlfn.XLOOKUP($I65,#REF!,_xlfn.XLOOKUP(W$10,#REF!,#REF!,"",0,1),""),"")</f>
        <v/>
      </c>
      <c r="X65" s="74" t="str" cm="1">
        <f t="array" ref="X65">IFERROR(_xlfn.XLOOKUP($I65,#REF!,_xlfn.XLOOKUP(X$10,#REF!,#REF!,"",0,1),""),"")</f>
        <v/>
      </c>
      <c r="Y65" s="74" t="str" cm="1">
        <f t="array" ref="Y65">IFERROR(_xlfn.XLOOKUP($I65,#REF!,_xlfn.XLOOKUP(Y$10,#REF!,#REF!,"",0,1),""),"")</f>
        <v/>
      </c>
      <c r="Z65" s="74" t="str" cm="1">
        <f t="array" ref="Z65">IFERROR(_xlfn.XLOOKUP($I65,#REF!,_xlfn.XLOOKUP(Z$10,#REF!,#REF!,"",0,1),""),"")</f>
        <v/>
      </c>
      <c r="AA65" s="74" t="str" cm="1">
        <f t="array" ref="AA65">IFERROR(_xlfn.XLOOKUP($I65,#REF!,_xlfn.XLOOKUP(AA$10,#REF!,#REF!,"",0,1),""),"")</f>
        <v/>
      </c>
      <c r="AB65" s="12" t="str" cm="1">
        <f t="array" ref="AB65">IFERROR(_xlfn.XLOOKUP($I65,#REF!,_xlfn.XLOOKUP(AB$10,#REF!,#REF!,"",0,1),""),"")</f>
        <v/>
      </c>
      <c r="AC65" s="52" t="str" cm="1">
        <f t="array" ref="AC65">IFERROR(_xlfn.XLOOKUP($I65,#REF!,_xlfn.XLOOKUP(AC$10,#REF!,#REF!,"",0,1),""),"")</f>
        <v/>
      </c>
      <c r="AD65" s="12" t="str" cm="1">
        <f t="array" ref="AD65">IFERROR(_xlfn.XLOOKUP($I65,#REF!,_xlfn.XLOOKUP(AD$10,#REF!,#REF!,"",0,1),""),"")</f>
        <v/>
      </c>
      <c r="AE65" s="12"/>
      <c r="AF65" s="12" t="str" cm="1">
        <f t="array" ref="AF65">IFERROR(_xlfn.XLOOKUP($I65,#REF!,_xlfn.XLOOKUP(AF$10,#REF!,#REF!,"",0,1),""),"")</f>
        <v/>
      </c>
      <c r="AG65" s="12" t="str" cm="1">
        <f t="array" ref="AG65">IFERROR(_xlfn.XLOOKUP($I65,#REF!,_xlfn.XLOOKUP(AG$10,#REF!,#REF!,"",0,1),""),"")</f>
        <v/>
      </c>
      <c r="AH65" s="12" t="str" cm="1">
        <f t="array" ref="AH65">IFERROR(_xlfn.XLOOKUP($I65,#REF!,_xlfn.XLOOKUP(AH$10,#REF!,#REF!,"",0,1),""),"")</f>
        <v/>
      </c>
      <c r="AI65" s="12" t="str" cm="1">
        <f t="array" ref="AI65">IFERROR(_xlfn.XLOOKUP($I65,#REF!,_xlfn.XLOOKUP(AI$10,#REF!,#REF!,"",0,1),""),"")</f>
        <v/>
      </c>
      <c r="AJ65" s="12"/>
      <c r="AK65" s="12"/>
      <c r="AL65" s="11" t="str" cm="1">
        <f t="array" ref="AL65">IFERROR(_xlfn.XLOOKUP($I65,#REF!,_xlfn.XLOOKUP(AL$10,#REF!,#REF!,"",0,1),""),"")</f>
        <v/>
      </c>
      <c r="AM65" s="11" t="str" cm="1">
        <f t="array" ref="AM65">IFERROR(_xlfn.XLOOKUP($I65,#REF!,_xlfn.XLOOKUP(AM$10,#REF!,#REF!,"",0,1),""),"")</f>
        <v/>
      </c>
      <c r="AN65" s="11" t="str" cm="1">
        <f t="array" ref="AN65">IFERROR(_xlfn.XLOOKUP($I65,#REF!,_xlfn.XLOOKUP(AN$10,#REF!,#REF!,"",0,1),""),"")</f>
        <v/>
      </c>
      <c r="AO65" s="11" t="str" cm="1">
        <f t="array" ref="AO65">IFERROR(_xlfn.XLOOKUP($I65,#REF!,_xlfn.XLOOKUP(AO$10,#REF!,#REF!,"",0,1),""),"")</f>
        <v/>
      </c>
      <c r="AP65" s="11" t="str" cm="1">
        <f t="array" ref="AP65">IFERROR(_xlfn.XLOOKUP($I65,#REF!,_xlfn.XLOOKUP(AP$10,#REF!,#REF!,"",0,1),""),"")</f>
        <v/>
      </c>
      <c r="AQ65" s="11" t="str" cm="1">
        <f t="array" ref="AQ65">IFERROR(_xlfn.XLOOKUP($I65,#REF!,_xlfn.XLOOKUP(AQ$10,#REF!,#REF!,"",0,1),""),"")</f>
        <v/>
      </c>
      <c r="AR65" s="12" t="str" cm="1">
        <f t="array" ref="AR65">IFERROR(_xlfn.XLOOKUP($I65,#REF!,_xlfn.XLOOKUP(AR$10,#REF!,#REF!,"",0,1),""),"")</f>
        <v/>
      </c>
      <c r="AS65" s="12" t="str" cm="1">
        <f t="array" ref="AS65">IFERROR(_xlfn.XLOOKUP($I65,#REF!,_xlfn.XLOOKUP(AS$10,#REF!,#REF!,"",0,1),""),"")</f>
        <v/>
      </c>
      <c r="AT65" s="12" t="str" cm="1">
        <f t="array" ref="AT65">IFERROR(_xlfn.XLOOKUP($I65,#REF!,_xlfn.XLOOKUP(AT$10,#REF!,#REF!,"",0,1),""),"")</f>
        <v/>
      </c>
      <c r="AU65" s="12" t="str" cm="1">
        <f t="array" ref="AU65">IFERROR(_xlfn.XLOOKUP($I65,#REF!,_xlfn.XLOOKUP(AU$10,#REF!,#REF!,"",0,1),""),"")</f>
        <v/>
      </c>
      <c r="AV65" s="12" t="str" cm="1">
        <f t="array" ref="AV65">IFERROR(_xlfn.XLOOKUP($I65,#REF!,_xlfn.XLOOKUP(AV$10,#REF!,#REF!,"",0,1),""),"")</f>
        <v/>
      </c>
      <c r="AW65" s="12" t="str">
        <f>IFERROR(_xlfn.XLOOKUP($I65,#REF!,#REF!,""),"")</f>
        <v/>
      </c>
      <c r="AX65" s="12" t="str">
        <f>IFERROR(_xlfn.XLOOKUP($I65,#REF!,#REF!,""),"")</f>
        <v/>
      </c>
      <c r="AY65" s="12" t="str">
        <f>IFERROR(_xlfn.XLOOKUP($I65,#REF!,#REF!,""),"")</f>
        <v/>
      </c>
      <c r="AZ65" s="11" t="str" cm="1">
        <f t="array" ref="AZ65">IFERROR(_xlfn.XLOOKUP($I65,#REF!,_xlfn.XLOOKUP(AZ$10,#REF!,#REF!,"",0,1),""),"")</f>
        <v/>
      </c>
      <c r="BA65" s="11" t="str" cm="1">
        <f t="array" ref="BA65">IFERROR(_xlfn.XLOOKUP($I65,#REF!,_xlfn.XLOOKUP(BA$10,#REF!,#REF!,"",0,1),""),"")</f>
        <v/>
      </c>
      <c r="BB65" s="11" t="str">
        <f>IFERROR(_xlfn.XLOOKUP($I65,#REF!,#REF!,""),"")</f>
        <v/>
      </c>
      <c r="BC65" s="11" t="str">
        <f>IFERROR(_xlfn.XLOOKUP($I65,#REF!,#REF!,""),"")</f>
        <v/>
      </c>
      <c r="BD65" s="12" t="str" cm="1">
        <f t="array" ref="BD65">IFERROR(_xlfn.XLOOKUP($I65,#REF!,_xlfn.XLOOKUP(BD$10,#REF!,#REF!,"",0,1),""),"")</f>
        <v/>
      </c>
      <c r="BE65" s="12" t="str" cm="1">
        <f t="array" ref="BE65">IFERROR(_xlfn.XLOOKUP($I65,#REF!,_xlfn.XLOOKUP(BE$10,#REF!,#REF!,"",0,1),""),"")</f>
        <v/>
      </c>
      <c r="BF65" s="12" t="str" cm="1">
        <f t="array" ref="BF65">IFERROR(_xlfn.XLOOKUP($I65,#REF!,_xlfn.XLOOKUP(BF$10,#REF!,#REF!,"",0,1),""),"")</f>
        <v/>
      </c>
      <c r="BG65" s="12" t="str" cm="1">
        <f t="array" ref="BG65">IFERROR(_xlfn.XLOOKUP($I65,#REF!,_xlfn.XLOOKUP(BG$10,#REF!,#REF!,"",0,1),""),"")</f>
        <v/>
      </c>
      <c r="BH65" s="12" t="str" cm="1">
        <f t="array" ref="BH65">IFERROR(_xlfn.XLOOKUP($I65,#REF!,_xlfn.XLOOKUP(BH$10,#REF!,#REF!,"",0,1),""),"")</f>
        <v/>
      </c>
      <c r="BI65" s="12" t="str" cm="1">
        <f t="array" ref="BI65">IFERROR(_xlfn.XLOOKUP($I65,#REF!,_xlfn.XLOOKUP(BI$10,#REF!,#REF!,"",0,1),""),"")</f>
        <v/>
      </c>
      <c r="BJ65" s="12" t="str" cm="1">
        <f t="array" ref="BJ65">IFERROR(_xlfn.XLOOKUP($I65,#REF!,_xlfn.XLOOKUP(BJ$10,#REF!,#REF!,"",0,1),""),"")</f>
        <v/>
      </c>
      <c r="BK65" s="12" t="str" cm="1">
        <f t="array" ref="BK65">IFERROR(_xlfn.XLOOKUP($I65,#REF!,_xlfn.XLOOKUP(BK$10,#REF!,#REF!,"",0,1),""),"")</f>
        <v/>
      </c>
      <c r="BL65" s="12" t="str" cm="1">
        <f t="array" ref="BL65">IFERROR(_xlfn.XLOOKUP($I65,#REF!,_xlfn.XLOOKUP(BL$10,#REF!,#REF!,"",0,1),""),"")</f>
        <v/>
      </c>
      <c r="BM65" s="12" t="str">
        <f>IFERROR(_xlfn.XLOOKUP($I65,#REF!,#REF!,""),"")</f>
        <v/>
      </c>
      <c r="BN65" s="12" t="str">
        <f>IFERROR(_xlfn.XLOOKUP($I65,#REF!,#REF!,""),"")</f>
        <v/>
      </c>
      <c r="BO65" s="12" t="str">
        <f>IFERROR(_xlfn.XLOOKUP($I65,#REF!,#REF!,""),"")</f>
        <v/>
      </c>
      <c r="BP65" s="12" t="str" cm="1">
        <f t="array" ref="BP65">IFERROR(_xlfn.XLOOKUP($I65,#REF!,_xlfn.XLOOKUP(BP$10,#REF!,#REF!,"",0,1),""),"")</f>
        <v/>
      </c>
      <c r="BQ65" s="12" t="str">
        <f>IFERROR(_xlfn.XLOOKUP($I65,#REF!,#REF!,""),"")</f>
        <v/>
      </c>
      <c r="BR65" s="12" t="str">
        <f>IFERROR(_xlfn.XLOOKUP($I65,#REF!,#REF!,""),"")</f>
        <v/>
      </c>
      <c r="BS65" s="12" t="str">
        <f>IFERROR(_xlfn.XLOOKUP($I65,#REF!,#REF!,""),"")</f>
        <v/>
      </c>
      <c r="BT65" s="11" t="str">
        <f>IFERROR(_xlfn.XLOOKUP($I65,#REF!,#REF!,""),"")</f>
        <v/>
      </c>
      <c r="BU65" s="11" t="str">
        <f>IFERROR(_xlfn.XLOOKUP($I65,#REF!,#REF!,""),"")</f>
        <v/>
      </c>
      <c r="BV65" s="32" t="str">
        <f>IFERROR(_xlfn.XLOOKUP($I65,#REF!,#REF!,""),"")</f>
        <v/>
      </c>
      <c r="BW65" s="12" t="str">
        <f>IFERROR(_xlfn.XLOOKUP($I65,#REF!,#REF!,""),"")</f>
        <v/>
      </c>
    </row>
    <row r="66" spans="3:75" ht="52.35" customHeight="1" x14ac:dyDescent="0.3">
      <c r="C66" s="22" t="str">
        <f>IFERROR(_xlfn.XLOOKUP($I66,#REF!,#REF!,""),"")</f>
        <v/>
      </c>
      <c r="D66" s="19" t="str">
        <f>IFERROR(_xlfn.XLOOKUP($I66,#REF!,#REF!,""),"")</f>
        <v/>
      </c>
      <c r="E66" s="23" t="str">
        <f>IFERROR(_xlfn.XLOOKUP($I66,#REF!,#REF!,""),"")</f>
        <v/>
      </c>
      <c r="F66" s="19" t="str">
        <f>IFERROR(_xlfn.XLOOKUP($I66,#REF!,#REF!,""),"")</f>
        <v/>
      </c>
      <c r="G66" s="19" t="str">
        <f>IFERROR(_xlfn.XLOOKUP($I66,#REF!,#REF!,""),"")</f>
        <v/>
      </c>
      <c r="H66" s="19" t="str">
        <f>IFERROR(_xlfn.XLOOKUP($I66,#REF!,#REF!,""),"")</f>
        <v/>
      </c>
      <c r="I66" s="77">
        <v>103681</v>
      </c>
      <c r="J66" s="12" t="str" cm="1">
        <f t="array" ref="J66">IFERROR(_xlfn.XLOOKUP($I66,#REF!,_xlfn.XLOOKUP(J$10,#REF!,#REF!,"",0,1),""),"")</f>
        <v/>
      </c>
      <c r="K66" s="12" t="str" cm="1">
        <f t="array" ref="K66">IFERROR(_xlfn.XLOOKUP($I66,#REF!,_xlfn.XLOOKUP(K$10,#REF!,#REF!,"",0,1),""),"")</f>
        <v/>
      </c>
      <c r="L66" s="12" t="str" cm="1">
        <f t="array" ref="L66">IFERROR(_xlfn.XLOOKUP($I66,#REF!,_xlfn.XLOOKUP(L$10,#REF!,#REF!,"",0,1),""),"")</f>
        <v/>
      </c>
      <c r="M66" s="36" t="str" cm="1">
        <f t="array" ref="M66">IFERROR(_xlfn.XLOOKUP($I66,#REF!,_xlfn.XLOOKUP(M$10,#REF!,#REF!,"",0,1),""),"")</f>
        <v/>
      </c>
      <c r="N66" s="37" t="str" cm="1">
        <f t="array" ref="N66">IFERROR(_xlfn.XLOOKUP($I66,#REF!,_xlfn.XLOOKUP(N$10,#REF!,#REF!,"",0,1),""),"")</f>
        <v/>
      </c>
      <c r="O66" s="12" t="str" cm="1">
        <f t="array" ref="O66">IFERROR(_xlfn.XLOOKUP($I66,#REF!,_xlfn.XLOOKUP(O$10,#REF!,#REF!,"",0,1),""),"")</f>
        <v/>
      </c>
      <c r="P66" s="12" t="str" cm="1">
        <f t="array" ref="P66">IFERROR(_xlfn.XLOOKUP($I66,#REF!,_xlfn.XLOOKUP(P$10,#REF!,#REF!,"",0,1),""),"")</f>
        <v/>
      </c>
      <c r="Q66" s="12" t="str" cm="1">
        <f t="array" ref="Q66">IFERROR(_xlfn.XLOOKUP($I66,#REF!,_xlfn.XLOOKUP(Q$10,#REF!,#REF!,"",0,1),""),"")</f>
        <v/>
      </c>
      <c r="R66" s="12" t="str" cm="1">
        <f t="array" ref="R66">IFERROR(_xlfn.XLOOKUP($I66,#REF!,_xlfn.XLOOKUP(R$10,#REF!,#REF!,"",0,1),""),"")</f>
        <v/>
      </c>
      <c r="S66" s="12" t="str">
        <f>IFERROR(_xlfn.XLOOKUP($I66,#REF!,#REF!,""),"")</f>
        <v/>
      </c>
      <c r="T66" s="12" t="str">
        <f>IFERROR(_xlfn.XLOOKUP($I66,#REF!,#REF!,""),"")</f>
        <v/>
      </c>
      <c r="U66" s="12" t="str">
        <f>IFERROR(_xlfn.XLOOKUP($I66,#REF!,#REF!,""),"")</f>
        <v/>
      </c>
      <c r="V66" s="12" t="str">
        <f>IFERROR(_xlfn.XLOOKUP($I66,#REF!,#REF!,""),"")</f>
        <v/>
      </c>
      <c r="W66" s="74" t="str" cm="1">
        <f t="array" ref="W66">IFERROR(_xlfn.XLOOKUP($I66,#REF!,_xlfn.XLOOKUP(W$10,#REF!,#REF!,"",0,1),""),"")</f>
        <v/>
      </c>
      <c r="X66" s="74" t="str" cm="1">
        <f t="array" ref="X66">IFERROR(_xlfn.XLOOKUP($I66,#REF!,_xlfn.XLOOKUP(X$10,#REF!,#REF!,"",0,1),""),"")</f>
        <v/>
      </c>
      <c r="Y66" s="74" t="str" cm="1">
        <f t="array" ref="Y66">IFERROR(_xlfn.XLOOKUP($I66,#REF!,_xlfn.XLOOKUP(Y$10,#REF!,#REF!,"",0,1),""),"")</f>
        <v/>
      </c>
      <c r="Z66" s="74" t="str" cm="1">
        <f t="array" ref="Z66">IFERROR(_xlfn.XLOOKUP($I66,#REF!,_xlfn.XLOOKUP(Z$10,#REF!,#REF!,"",0,1),""),"")</f>
        <v/>
      </c>
      <c r="AA66" s="74" t="str" cm="1">
        <f t="array" ref="AA66">IFERROR(_xlfn.XLOOKUP($I66,#REF!,_xlfn.XLOOKUP(AA$10,#REF!,#REF!,"",0,1),""),"")</f>
        <v/>
      </c>
      <c r="AB66" s="12" t="str" cm="1">
        <f t="array" ref="AB66">IFERROR(_xlfn.XLOOKUP($I66,#REF!,_xlfn.XLOOKUP(AB$10,#REF!,#REF!,"",0,1),""),"")</f>
        <v/>
      </c>
      <c r="AC66" s="52" t="str" cm="1">
        <f t="array" ref="AC66">IFERROR(_xlfn.XLOOKUP($I66,#REF!,_xlfn.XLOOKUP(AC$10,#REF!,#REF!,"",0,1),""),"")</f>
        <v/>
      </c>
      <c r="AD66" s="12" t="str" cm="1">
        <f t="array" ref="AD66">IFERROR(_xlfn.XLOOKUP($I66,#REF!,_xlfn.XLOOKUP(AD$10,#REF!,#REF!,"",0,1),""),"")</f>
        <v/>
      </c>
      <c r="AE66" s="12"/>
      <c r="AF66" s="12" t="str" cm="1">
        <f t="array" ref="AF66">IFERROR(_xlfn.XLOOKUP($I66,#REF!,_xlfn.XLOOKUP(AF$10,#REF!,#REF!,"",0,1),""),"")</f>
        <v/>
      </c>
      <c r="AG66" s="12" t="str" cm="1">
        <f t="array" ref="AG66">IFERROR(_xlfn.XLOOKUP($I66,#REF!,_xlfn.XLOOKUP(AG$10,#REF!,#REF!,"",0,1),""),"")</f>
        <v/>
      </c>
      <c r="AH66" s="12" t="str" cm="1">
        <f t="array" ref="AH66">IFERROR(_xlfn.XLOOKUP($I66,#REF!,_xlfn.XLOOKUP(AH$10,#REF!,#REF!,"",0,1),""),"")</f>
        <v/>
      </c>
      <c r="AI66" s="12" t="str" cm="1">
        <f t="array" ref="AI66">IFERROR(_xlfn.XLOOKUP($I66,#REF!,_xlfn.XLOOKUP(AI$10,#REF!,#REF!,"",0,1),""),"")</f>
        <v/>
      </c>
      <c r="AJ66" s="12"/>
      <c r="AK66" s="12"/>
      <c r="AL66" s="11" t="str" cm="1">
        <f t="array" ref="AL66">IFERROR(_xlfn.XLOOKUP($I66,#REF!,_xlfn.XLOOKUP(AL$10,#REF!,#REF!,"",0,1),""),"")</f>
        <v/>
      </c>
      <c r="AM66" s="11" t="str" cm="1">
        <f t="array" ref="AM66">IFERROR(_xlfn.XLOOKUP($I66,#REF!,_xlfn.XLOOKUP(AM$10,#REF!,#REF!,"",0,1),""),"")</f>
        <v/>
      </c>
      <c r="AN66" s="11" t="str" cm="1">
        <f t="array" ref="AN66">IFERROR(_xlfn.XLOOKUP($I66,#REF!,_xlfn.XLOOKUP(AN$10,#REF!,#REF!,"",0,1),""),"")</f>
        <v/>
      </c>
      <c r="AO66" s="11" t="str" cm="1">
        <f t="array" ref="AO66">IFERROR(_xlfn.XLOOKUP($I66,#REF!,_xlfn.XLOOKUP(AO$10,#REF!,#REF!,"",0,1),""),"")</f>
        <v/>
      </c>
      <c r="AP66" s="11" t="str" cm="1">
        <f t="array" ref="AP66">IFERROR(_xlfn.XLOOKUP($I66,#REF!,_xlfn.XLOOKUP(AP$10,#REF!,#REF!,"",0,1),""),"")</f>
        <v/>
      </c>
      <c r="AQ66" s="11" t="str" cm="1">
        <f t="array" ref="AQ66">IFERROR(_xlfn.XLOOKUP($I66,#REF!,_xlfn.XLOOKUP(AQ$10,#REF!,#REF!,"",0,1),""),"")</f>
        <v/>
      </c>
      <c r="AR66" s="12" t="str" cm="1">
        <f t="array" ref="AR66">IFERROR(_xlfn.XLOOKUP($I66,#REF!,_xlfn.XLOOKUP(AR$10,#REF!,#REF!,"",0,1),""),"")</f>
        <v/>
      </c>
      <c r="AS66" s="12" t="str" cm="1">
        <f t="array" ref="AS66">IFERROR(_xlfn.XLOOKUP($I66,#REF!,_xlfn.XLOOKUP(AS$10,#REF!,#REF!,"",0,1),""),"")</f>
        <v/>
      </c>
      <c r="AT66" s="12" t="str" cm="1">
        <f t="array" ref="AT66">IFERROR(_xlfn.XLOOKUP($I66,#REF!,_xlfn.XLOOKUP(AT$10,#REF!,#REF!,"",0,1),""),"")</f>
        <v/>
      </c>
      <c r="AU66" s="12" t="str" cm="1">
        <f t="array" ref="AU66">IFERROR(_xlfn.XLOOKUP($I66,#REF!,_xlfn.XLOOKUP(AU$10,#REF!,#REF!,"",0,1),""),"")</f>
        <v/>
      </c>
      <c r="AV66" s="12" t="str" cm="1">
        <f t="array" ref="AV66">IFERROR(_xlfn.XLOOKUP($I66,#REF!,_xlfn.XLOOKUP(AV$10,#REF!,#REF!,"",0,1),""),"")</f>
        <v/>
      </c>
      <c r="AW66" s="12" t="str">
        <f>IFERROR(_xlfn.XLOOKUP($I66,#REF!,#REF!,""),"")</f>
        <v/>
      </c>
      <c r="AX66" s="12" t="str">
        <f>IFERROR(_xlfn.XLOOKUP($I66,#REF!,#REF!,""),"")</f>
        <v/>
      </c>
      <c r="AY66" s="12" t="str">
        <f>IFERROR(_xlfn.XLOOKUP($I66,#REF!,#REF!,""),"")</f>
        <v/>
      </c>
      <c r="AZ66" s="11" t="str" cm="1">
        <f t="array" ref="AZ66">IFERROR(_xlfn.XLOOKUP($I66,#REF!,_xlfn.XLOOKUP(AZ$10,#REF!,#REF!,"",0,1),""),"")</f>
        <v/>
      </c>
      <c r="BA66" s="11" t="str" cm="1">
        <f t="array" ref="BA66">IFERROR(_xlfn.XLOOKUP($I66,#REF!,_xlfn.XLOOKUP(BA$10,#REF!,#REF!,"",0,1),""),"")</f>
        <v/>
      </c>
      <c r="BB66" s="11" t="str">
        <f>IFERROR(_xlfn.XLOOKUP($I66,#REF!,#REF!,""),"")</f>
        <v/>
      </c>
      <c r="BC66" s="11" t="str">
        <f>IFERROR(_xlfn.XLOOKUP($I66,#REF!,#REF!,""),"")</f>
        <v/>
      </c>
      <c r="BD66" s="12" t="str" cm="1">
        <f t="array" ref="BD66">IFERROR(_xlfn.XLOOKUP($I66,#REF!,_xlfn.XLOOKUP(BD$10,#REF!,#REF!,"",0,1),""),"")</f>
        <v/>
      </c>
      <c r="BE66" s="12" t="str" cm="1">
        <f t="array" ref="BE66">IFERROR(_xlfn.XLOOKUP($I66,#REF!,_xlfn.XLOOKUP(BE$10,#REF!,#REF!,"",0,1),""),"")</f>
        <v/>
      </c>
      <c r="BF66" s="12" t="str" cm="1">
        <f t="array" ref="BF66">IFERROR(_xlfn.XLOOKUP($I66,#REF!,_xlfn.XLOOKUP(BF$10,#REF!,#REF!,"",0,1),""),"")</f>
        <v/>
      </c>
      <c r="BG66" s="12" t="str" cm="1">
        <f t="array" ref="BG66">IFERROR(_xlfn.XLOOKUP($I66,#REF!,_xlfn.XLOOKUP(BG$10,#REF!,#REF!,"",0,1),""),"")</f>
        <v/>
      </c>
      <c r="BH66" s="12" t="str" cm="1">
        <f t="array" ref="BH66">IFERROR(_xlfn.XLOOKUP($I66,#REF!,_xlfn.XLOOKUP(BH$10,#REF!,#REF!,"",0,1),""),"")</f>
        <v/>
      </c>
      <c r="BI66" s="12" t="str" cm="1">
        <f t="array" ref="BI66">IFERROR(_xlfn.XLOOKUP($I66,#REF!,_xlfn.XLOOKUP(BI$10,#REF!,#REF!,"",0,1),""),"")</f>
        <v/>
      </c>
      <c r="BJ66" s="12" t="str" cm="1">
        <f t="array" ref="BJ66">IFERROR(_xlfn.XLOOKUP($I66,#REF!,_xlfn.XLOOKUP(BJ$10,#REF!,#REF!,"",0,1),""),"")</f>
        <v/>
      </c>
      <c r="BK66" s="12" t="str" cm="1">
        <f t="array" ref="BK66">IFERROR(_xlfn.XLOOKUP($I66,#REF!,_xlfn.XLOOKUP(BK$10,#REF!,#REF!,"",0,1),""),"")</f>
        <v/>
      </c>
      <c r="BL66" s="12" t="str" cm="1">
        <f t="array" ref="BL66">IFERROR(_xlfn.XLOOKUP($I66,#REF!,_xlfn.XLOOKUP(BL$10,#REF!,#REF!,"",0,1),""),"")</f>
        <v/>
      </c>
      <c r="BM66" s="12" t="str">
        <f>IFERROR(_xlfn.XLOOKUP($I66,#REF!,#REF!,""),"")</f>
        <v/>
      </c>
      <c r="BN66" s="12" t="str">
        <f>IFERROR(_xlfn.XLOOKUP($I66,#REF!,#REF!,""),"")</f>
        <v/>
      </c>
      <c r="BO66" s="12" t="str">
        <f>IFERROR(_xlfn.XLOOKUP($I66,#REF!,#REF!,""),"")</f>
        <v/>
      </c>
      <c r="BP66" s="12" t="str" cm="1">
        <f t="array" ref="BP66">IFERROR(_xlfn.XLOOKUP($I66,#REF!,_xlfn.XLOOKUP(BP$10,#REF!,#REF!,"",0,1),""),"")</f>
        <v/>
      </c>
      <c r="BQ66" s="12" t="str">
        <f>IFERROR(_xlfn.XLOOKUP($I66,#REF!,#REF!,""),"")</f>
        <v/>
      </c>
      <c r="BR66" s="12" t="str">
        <f>IFERROR(_xlfn.XLOOKUP($I66,#REF!,#REF!,""),"")</f>
        <v/>
      </c>
      <c r="BS66" s="12" t="str">
        <f>IFERROR(_xlfn.XLOOKUP($I66,#REF!,#REF!,""),"")</f>
        <v/>
      </c>
      <c r="BT66" s="11" t="str">
        <f>IFERROR(_xlfn.XLOOKUP($I66,#REF!,#REF!,""),"")</f>
        <v/>
      </c>
      <c r="BU66" s="11" t="str">
        <f>IFERROR(_xlfn.XLOOKUP($I66,#REF!,#REF!,""),"")</f>
        <v/>
      </c>
      <c r="BV66" s="32" t="str">
        <f>IFERROR(_xlfn.XLOOKUP($I66,#REF!,#REF!,""),"")</f>
        <v/>
      </c>
      <c r="BW66" s="12" t="str">
        <f>IFERROR(_xlfn.XLOOKUP($I66,#REF!,#REF!,""),"")</f>
        <v/>
      </c>
    </row>
    <row r="67" spans="3:75" ht="69.599999999999994" customHeight="1" x14ac:dyDescent="0.3">
      <c r="C67" s="22" t="str">
        <f>IFERROR(_xlfn.XLOOKUP($I67,#REF!,#REF!,""),"")</f>
        <v/>
      </c>
      <c r="D67" s="19" t="str">
        <f>IFERROR(_xlfn.XLOOKUP($I67,#REF!,#REF!,""),"")</f>
        <v/>
      </c>
      <c r="E67" s="23" t="str">
        <f>IFERROR(_xlfn.XLOOKUP($I67,#REF!,#REF!,""),"")</f>
        <v/>
      </c>
      <c r="F67" s="19" t="str">
        <f>IFERROR(_xlfn.XLOOKUP($I67,#REF!,#REF!,""),"")</f>
        <v/>
      </c>
      <c r="G67" s="19" t="str">
        <f>IFERROR(_xlfn.XLOOKUP($I67,#REF!,#REF!,""),"")</f>
        <v/>
      </c>
      <c r="H67" s="19" t="str">
        <f>IFERROR(_xlfn.XLOOKUP($I67,#REF!,#REF!,""),"")</f>
        <v/>
      </c>
      <c r="I67" s="77">
        <v>3207</v>
      </c>
      <c r="J67" s="12" t="str" cm="1">
        <f t="array" ref="J67">IFERROR(_xlfn.XLOOKUP($I67,#REF!,_xlfn.XLOOKUP(J$10,#REF!,#REF!,"",0,1),""),"")</f>
        <v/>
      </c>
      <c r="K67" s="12" t="str" cm="1">
        <f t="array" ref="K67">IFERROR(_xlfn.XLOOKUP($I67,#REF!,_xlfn.XLOOKUP(K$10,#REF!,#REF!,"",0,1),""),"")</f>
        <v/>
      </c>
      <c r="L67" s="12" t="str" cm="1">
        <f t="array" ref="L67">IFERROR(_xlfn.XLOOKUP($I67,#REF!,_xlfn.XLOOKUP(L$10,#REF!,#REF!,"",0,1),""),"")</f>
        <v/>
      </c>
      <c r="M67" s="36" t="str" cm="1">
        <f t="array" ref="M67">IFERROR(_xlfn.XLOOKUP($I67,#REF!,_xlfn.XLOOKUP(M$10,#REF!,#REF!,"",0,1),""),"")</f>
        <v/>
      </c>
      <c r="N67" s="37" t="str" cm="1">
        <f t="array" ref="N67">IFERROR(_xlfn.XLOOKUP($I67,#REF!,_xlfn.XLOOKUP(N$10,#REF!,#REF!,"",0,1),""),"")</f>
        <v/>
      </c>
      <c r="O67" s="12" t="str" cm="1">
        <f t="array" ref="O67">IFERROR(_xlfn.XLOOKUP($I67,#REF!,_xlfn.XLOOKUP(O$10,#REF!,#REF!,"",0,1),""),"")</f>
        <v/>
      </c>
      <c r="P67" s="12" t="str" cm="1">
        <f t="array" ref="P67">IFERROR(_xlfn.XLOOKUP($I67,#REF!,_xlfn.XLOOKUP(P$10,#REF!,#REF!,"",0,1),""),"")</f>
        <v/>
      </c>
      <c r="Q67" s="12" t="str" cm="1">
        <f t="array" ref="Q67">IFERROR(_xlfn.XLOOKUP($I67,#REF!,_xlfn.XLOOKUP(Q$10,#REF!,#REF!,"",0,1),""),"")</f>
        <v/>
      </c>
      <c r="R67" s="12" t="str" cm="1">
        <f t="array" ref="R67">IFERROR(_xlfn.XLOOKUP($I67,#REF!,_xlfn.XLOOKUP(R$10,#REF!,#REF!,"",0,1),""),"")</f>
        <v/>
      </c>
      <c r="S67" s="12" t="str">
        <f>IFERROR(_xlfn.XLOOKUP($I67,#REF!,#REF!,""),"")</f>
        <v/>
      </c>
      <c r="T67" s="12" t="str">
        <f>IFERROR(_xlfn.XLOOKUP($I67,#REF!,#REF!,""),"")</f>
        <v/>
      </c>
      <c r="U67" s="12" t="str">
        <f>IFERROR(_xlfn.XLOOKUP($I67,#REF!,#REF!,""),"")</f>
        <v/>
      </c>
      <c r="V67" s="12" t="str">
        <f>IFERROR(_xlfn.XLOOKUP($I67,#REF!,#REF!,""),"")</f>
        <v/>
      </c>
      <c r="W67" s="74" t="str" cm="1">
        <f t="array" ref="W67">IFERROR(_xlfn.XLOOKUP($I67,#REF!,_xlfn.XLOOKUP(W$10,#REF!,#REF!,"",0,1),""),"")</f>
        <v/>
      </c>
      <c r="X67" s="74" t="str" cm="1">
        <f t="array" ref="X67">IFERROR(_xlfn.XLOOKUP($I67,#REF!,_xlfn.XLOOKUP(X$10,#REF!,#REF!,"",0,1),""),"")</f>
        <v/>
      </c>
      <c r="Y67" s="74" t="str" cm="1">
        <f t="array" ref="Y67">IFERROR(_xlfn.XLOOKUP($I67,#REF!,_xlfn.XLOOKUP(Y$10,#REF!,#REF!,"",0,1),""),"")</f>
        <v/>
      </c>
      <c r="Z67" s="74" t="str" cm="1">
        <f t="array" ref="Z67">IFERROR(_xlfn.XLOOKUP($I67,#REF!,_xlfn.XLOOKUP(Z$10,#REF!,#REF!,"",0,1),""),"")</f>
        <v/>
      </c>
      <c r="AA67" s="74" t="str" cm="1">
        <f t="array" ref="AA67">IFERROR(_xlfn.XLOOKUP($I67,#REF!,_xlfn.XLOOKUP(AA$10,#REF!,#REF!,"",0,1),""),"")</f>
        <v/>
      </c>
      <c r="AB67" s="12" t="str" cm="1">
        <f t="array" ref="AB67">IFERROR(_xlfn.XLOOKUP($I67,#REF!,_xlfn.XLOOKUP(AB$10,#REF!,#REF!,"",0,1),""),"")</f>
        <v/>
      </c>
      <c r="AC67" s="52" t="str" cm="1">
        <f t="array" ref="AC67">IFERROR(_xlfn.XLOOKUP($I67,#REF!,_xlfn.XLOOKUP(AC$10,#REF!,#REF!,"",0,1),""),"")</f>
        <v/>
      </c>
      <c r="AD67" s="12" t="str" cm="1">
        <f t="array" ref="AD67">IFERROR(_xlfn.XLOOKUP($I67,#REF!,_xlfn.XLOOKUP(AD$10,#REF!,#REF!,"",0,1),""),"")</f>
        <v/>
      </c>
      <c r="AE67" s="12"/>
      <c r="AF67" s="12" t="str" cm="1">
        <f t="array" ref="AF67">IFERROR(_xlfn.XLOOKUP($I67,#REF!,_xlfn.XLOOKUP(AF$10,#REF!,#REF!,"",0,1),""),"")</f>
        <v/>
      </c>
      <c r="AG67" s="12" t="str" cm="1">
        <f t="array" ref="AG67">IFERROR(_xlfn.XLOOKUP($I67,#REF!,_xlfn.XLOOKUP(AG$10,#REF!,#REF!,"",0,1),""),"")</f>
        <v/>
      </c>
      <c r="AH67" s="12" t="str" cm="1">
        <f t="array" ref="AH67">IFERROR(_xlfn.XLOOKUP($I67,#REF!,_xlfn.XLOOKUP(AH$10,#REF!,#REF!,"",0,1),""),"")</f>
        <v/>
      </c>
      <c r="AI67" s="12" t="str" cm="1">
        <f t="array" ref="AI67">IFERROR(_xlfn.XLOOKUP($I67,#REF!,_xlfn.XLOOKUP(AI$10,#REF!,#REF!,"",0,1),""),"")</f>
        <v/>
      </c>
      <c r="AJ67" s="12"/>
      <c r="AK67" s="12"/>
      <c r="AL67" s="11" t="str" cm="1">
        <f t="array" ref="AL67">IFERROR(_xlfn.XLOOKUP($I67,#REF!,_xlfn.XLOOKUP(AL$10,#REF!,#REF!,"",0,1),""),"")</f>
        <v/>
      </c>
      <c r="AM67" s="11" t="str" cm="1">
        <f t="array" ref="AM67">IFERROR(_xlfn.XLOOKUP($I67,#REF!,_xlfn.XLOOKUP(AM$10,#REF!,#REF!,"",0,1),""),"")</f>
        <v/>
      </c>
      <c r="AN67" s="11" t="str" cm="1">
        <f t="array" ref="AN67">IFERROR(_xlfn.XLOOKUP($I67,#REF!,_xlfn.XLOOKUP(AN$10,#REF!,#REF!,"",0,1),""),"")</f>
        <v/>
      </c>
      <c r="AO67" s="11" t="str" cm="1">
        <f t="array" ref="AO67">IFERROR(_xlfn.XLOOKUP($I67,#REF!,_xlfn.XLOOKUP(AO$10,#REF!,#REF!,"",0,1),""),"")</f>
        <v/>
      </c>
      <c r="AP67" s="11" t="str" cm="1">
        <f t="array" ref="AP67">IFERROR(_xlfn.XLOOKUP($I67,#REF!,_xlfn.XLOOKUP(AP$10,#REF!,#REF!,"",0,1),""),"")</f>
        <v/>
      </c>
      <c r="AQ67" s="11" t="str" cm="1">
        <f t="array" ref="AQ67">IFERROR(_xlfn.XLOOKUP($I67,#REF!,_xlfn.XLOOKUP(AQ$10,#REF!,#REF!,"",0,1),""),"")</f>
        <v/>
      </c>
      <c r="AR67" s="12" t="str" cm="1">
        <f t="array" ref="AR67">IFERROR(_xlfn.XLOOKUP($I67,#REF!,_xlfn.XLOOKUP(AR$10,#REF!,#REF!,"",0,1),""),"")</f>
        <v/>
      </c>
      <c r="AS67" s="12" t="str" cm="1">
        <f t="array" ref="AS67">IFERROR(_xlfn.XLOOKUP($I67,#REF!,_xlfn.XLOOKUP(AS$10,#REF!,#REF!,"",0,1),""),"")</f>
        <v/>
      </c>
      <c r="AT67" s="12" t="str" cm="1">
        <f t="array" ref="AT67">IFERROR(_xlfn.XLOOKUP($I67,#REF!,_xlfn.XLOOKUP(AT$10,#REF!,#REF!,"",0,1),""),"")</f>
        <v/>
      </c>
      <c r="AU67" s="12" t="str" cm="1">
        <f t="array" ref="AU67">IFERROR(_xlfn.XLOOKUP($I67,#REF!,_xlfn.XLOOKUP(AU$10,#REF!,#REF!,"",0,1),""),"")</f>
        <v/>
      </c>
      <c r="AV67" s="12" t="str" cm="1">
        <f t="array" ref="AV67">IFERROR(_xlfn.XLOOKUP($I67,#REF!,_xlfn.XLOOKUP(AV$10,#REF!,#REF!,"",0,1),""),"")</f>
        <v/>
      </c>
      <c r="AW67" s="12" t="str">
        <f>IFERROR(_xlfn.XLOOKUP($I67,#REF!,#REF!,""),"")</f>
        <v/>
      </c>
      <c r="AX67" s="12" t="str">
        <f>IFERROR(_xlfn.XLOOKUP($I67,#REF!,#REF!,""),"")</f>
        <v/>
      </c>
      <c r="AY67" s="12" t="str">
        <f>IFERROR(_xlfn.XLOOKUP($I67,#REF!,#REF!,""),"")</f>
        <v/>
      </c>
      <c r="AZ67" s="11" t="str" cm="1">
        <f t="array" ref="AZ67">IFERROR(_xlfn.XLOOKUP($I67,#REF!,_xlfn.XLOOKUP(AZ$10,#REF!,#REF!,"",0,1),""),"")</f>
        <v/>
      </c>
      <c r="BA67" s="11" t="str" cm="1">
        <f t="array" ref="BA67">IFERROR(_xlfn.XLOOKUP($I67,#REF!,_xlfn.XLOOKUP(BA$10,#REF!,#REF!,"",0,1),""),"")</f>
        <v/>
      </c>
      <c r="BB67" s="11" t="str">
        <f>IFERROR(_xlfn.XLOOKUP($I67,#REF!,#REF!,""),"")</f>
        <v/>
      </c>
      <c r="BC67" s="11" t="str">
        <f>IFERROR(_xlfn.XLOOKUP($I67,#REF!,#REF!,""),"")</f>
        <v/>
      </c>
      <c r="BD67" s="12" t="str" cm="1">
        <f t="array" ref="BD67">IFERROR(_xlfn.XLOOKUP($I67,#REF!,_xlfn.XLOOKUP(BD$10,#REF!,#REF!,"",0,1),""),"")</f>
        <v/>
      </c>
      <c r="BE67" s="12" t="str" cm="1">
        <f t="array" ref="BE67">IFERROR(_xlfn.XLOOKUP($I67,#REF!,_xlfn.XLOOKUP(BE$10,#REF!,#REF!,"",0,1),""),"")</f>
        <v/>
      </c>
      <c r="BF67" s="12" t="str" cm="1">
        <f t="array" ref="BF67">IFERROR(_xlfn.XLOOKUP($I67,#REF!,_xlfn.XLOOKUP(BF$10,#REF!,#REF!,"",0,1),""),"")</f>
        <v/>
      </c>
      <c r="BG67" s="12" t="str" cm="1">
        <f t="array" ref="BG67">IFERROR(_xlfn.XLOOKUP($I67,#REF!,_xlfn.XLOOKUP(BG$10,#REF!,#REF!,"",0,1),""),"")</f>
        <v/>
      </c>
      <c r="BH67" s="12" t="str" cm="1">
        <f t="array" ref="BH67">IFERROR(_xlfn.XLOOKUP($I67,#REF!,_xlfn.XLOOKUP(BH$10,#REF!,#REF!,"",0,1),""),"")</f>
        <v/>
      </c>
      <c r="BI67" s="12" t="str" cm="1">
        <f t="array" ref="BI67">IFERROR(_xlfn.XLOOKUP($I67,#REF!,_xlfn.XLOOKUP(BI$10,#REF!,#REF!,"",0,1),""),"")</f>
        <v/>
      </c>
      <c r="BJ67" s="12" t="str" cm="1">
        <f t="array" ref="BJ67">IFERROR(_xlfn.XLOOKUP($I67,#REF!,_xlfn.XLOOKUP(BJ$10,#REF!,#REF!,"",0,1),""),"")</f>
        <v/>
      </c>
      <c r="BK67" s="12" t="str" cm="1">
        <f t="array" ref="BK67">IFERROR(_xlfn.XLOOKUP($I67,#REF!,_xlfn.XLOOKUP(BK$10,#REF!,#REF!,"",0,1),""),"")</f>
        <v/>
      </c>
      <c r="BL67" s="12" t="str" cm="1">
        <f t="array" ref="BL67">IFERROR(_xlfn.XLOOKUP($I67,#REF!,_xlfn.XLOOKUP(BL$10,#REF!,#REF!,"",0,1),""),"")</f>
        <v/>
      </c>
      <c r="BM67" s="12" t="str">
        <f>IFERROR(_xlfn.XLOOKUP($I67,#REF!,#REF!,""),"")</f>
        <v/>
      </c>
      <c r="BN67" s="12" t="str">
        <f>IFERROR(_xlfn.XLOOKUP($I67,#REF!,#REF!,""),"")</f>
        <v/>
      </c>
      <c r="BO67" s="12" t="str">
        <f>IFERROR(_xlfn.XLOOKUP($I67,#REF!,#REF!,""),"")</f>
        <v/>
      </c>
      <c r="BP67" s="12" t="str" cm="1">
        <f t="array" ref="BP67">IFERROR(_xlfn.XLOOKUP($I67,#REF!,_xlfn.XLOOKUP(BP$10,#REF!,#REF!,"",0,1),""),"")</f>
        <v/>
      </c>
      <c r="BQ67" s="12" t="str">
        <f>IFERROR(_xlfn.XLOOKUP($I67,#REF!,#REF!,""),"")</f>
        <v/>
      </c>
      <c r="BR67" s="12" t="str">
        <f>IFERROR(_xlfn.XLOOKUP($I67,#REF!,#REF!,""),"")</f>
        <v/>
      </c>
      <c r="BS67" s="12" t="str">
        <f>IFERROR(_xlfn.XLOOKUP($I67,#REF!,#REF!,""),"")</f>
        <v/>
      </c>
      <c r="BT67" s="11" t="str">
        <f>IFERROR(_xlfn.XLOOKUP($I67,#REF!,#REF!,""),"")</f>
        <v/>
      </c>
      <c r="BU67" s="11" t="str">
        <f>IFERROR(_xlfn.XLOOKUP($I67,#REF!,#REF!,""),"")</f>
        <v/>
      </c>
      <c r="BV67" s="32" t="str">
        <f>IFERROR(_xlfn.XLOOKUP($I67,#REF!,#REF!,""),"")</f>
        <v/>
      </c>
      <c r="BW67" s="12" t="str">
        <f>IFERROR(_xlfn.XLOOKUP($I67,#REF!,#REF!,""),"")</f>
        <v/>
      </c>
    </row>
    <row r="68" spans="3:75" ht="52.35" customHeight="1" x14ac:dyDescent="0.3">
      <c r="C68" s="22" t="str">
        <f>IFERROR(_xlfn.XLOOKUP($I68,#REF!,#REF!,""),"")</f>
        <v/>
      </c>
      <c r="D68" s="19" t="str">
        <f>IFERROR(_xlfn.XLOOKUP($I68,#REF!,#REF!,""),"")</f>
        <v/>
      </c>
      <c r="E68" s="23" t="str">
        <f>IFERROR(_xlfn.XLOOKUP($I68,#REF!,#REF!,""),"")</f>
        <v/>
      </c>
      <c r="F68" s="19" t="str">
        <f>IFERROR(_xlfn.XLOOKUP($I68,#REF!,#REF!,""),"")</f>
        <v/>
      </c>
      <c r="G68" s="19" t="str">
        <f>IFERROR(_xlfn.XLOOKUP($I68,#REF!,#REF!,""),"")</f>
        <v/>
      </c>
      <c r="H68" s="19" t="str">
        <f>IFERROR(_xlfn.XLOOKUP($I68,#REF!,#REF!,""),"")</f>
        <v/>
      </c>
      <c r="I68" s="77">
        <v>110425</v>
      </c>
      <c r="J68" s="12" t="str" cm="1">
        <f t="array" ref="J68">IFERROR(_xlfn.XLOOKUP($I68,#REF!,_xlfn.XLOOKUP(J$10,#REF!,#REF!,"",0,1),""),"")</f>
        <v/>
      </c>
      <c r="K68" s="12" t="str" cm="1">
        <f t="array" ref="K68">IFERROR(_xlfn.XLOOKUP($I68,#REF!,_xlfn.XLOOKUP(K$10,#REF!,#REF!,"",0,1),""),"")</f>
        <v/>
      </c>
      <c r="L68" s="12" t="str" cm="1">
        <f t="array" ref="L68">IFERROR(_xlfn.XLOOKUP($I68,#REF!,_xlfn.XLOOKUP(L$10,#REF!,#REF!,"",0,1),""),"")</f>
        <v/>
      </c>
      <c r="M68" s="36" t="str" cm="1">
        <f t="array" ref="M68">IFERROR(_xlfn.XLOOKUP($I68,#REF!,_xlfn.XLOOKUP(M$10,#REF!,#REF!,"",0,1),""),"")</f>
        <v/>
      </c>
      <c r="N68" s="37" t="str" cm="1">
        <f t="array" ref="N68">IFERROR(_xlfn.XLOOKUP($I68,#REF!,_xlfn.XLOOKUP(N$10,#REF!,#REF!,"",0,1),""),"")</f>
        <v/>
      </c>
      <c r="O68" s="12" t="str" cm="1">
        <f t="array" ref="O68">IFERROR(_xlfn.XLOOKUP($I68,#REF!,_xlfn.XLOOKUP(O$10,#REF!,#REF!,"",0,1),""),"")</f>
        <v/>
      </c>
      <c r="P68" s="12" t="str" cm="1">
        <f t="array" ref="P68">IFERROR(_xlfn.XLOOKUP($I68,#REF!,_xlfn.XLOOKUP(P$10,#REF!,#REF!,"",0,1),""),"")</f>
        <v/>
      </c>
      <c r="Q68" s="12" t="str" cm="1">
        <f t="array" ref="Q68">IFERROR(_xlfn.XLOOKUP($I68,#REF!,_xlfn.XLOOKUP(Q$10,#REF!,#REF!,"",0,1),""),"")</f>
        <v/>
      </c>
      <c r="R68" s="12" t="str" cm="1">
        <f t="array" ref="R68">IFERROR(_xlfn.XLOOKUP($I68,#REF!,_xlfn.XLOOKUP(R$10,#REF!,#REF!,"",0,1),""),"")</f>
        <v/>
      </c>
      <c r="S68" s="12" t="str">
        <f>IFERROR(_xlfn.XLOOKUP($I68,#REF!,#REF!,""),"")</f>
        <v/>
      </c>
      <c r="T68" s="12" t="str">
        <f>IFERROR(_xlfn.XLOOKUP($I68,#REF!,#REF!,""),"")</f>
        <v/>
      </c>
      <c r="U68" s="12" t="str">
        <f>IFERROR(_xlfn.XLOOKUP($I68,#REF!,#REF!,""),"")</f>
        <v/>
      </c>
      <c r="V68" s="12" t="str">
        <f>IFERROR(_xlfn.XLOOKUP($I68,#REF!,#REF!,""),"")</f>
        <v/>
      </c>
      <c r="W68" s="74" t="str" cm="1">
        <f t="array" ref="W68">IFERROR(_xlfn.XLOOKUP($I68,#REF!,_xlfn.XLOOKUP(W$10,#REF!,#REF!,"",0,1),""),"")</f>
        <v/>
      </c>
      <c r="X68" s="74" t="str" cm="1">
        <f t="array" ref="X68">IFERROR(_xlfn.XLOOKUP($I68,#REF!,_xlfn.XLOOKUP(X$10,#REF!,#REF!,"",0,1),""),"")</f>
        <v/>
      </c>
      <c r="Y68" s="74" t="str" cm="1">
        <f t="array" ref="Y68">IFERROR(_xlfn.XLOOKUP($I68,#REF!,_xlfn.XLOOKUP(Y$10,#REF!,#REF!,"",0,1),""),"")</f>
        <v/>
      </c>
      <c r="Z68" s="74" t="str" cm="1">
        <f t="array" ref="Z68">IFERROR(_xlfn.XLOOKUP($I68,#REF!,_xlfn.XLOOKUP(Z$10,#REF!,#REF!,"",0,1),""),"")</f>
        <v/>
      </c>
      <c r="AA68" s="74" t="str" cm="1">
        <f t="array" ref="AA68">IFERROR(_xlfn.XLOOKUP($I68,#REF!,_xlfn.XLOOKUP(AA$10,#REF!,#REF!,"",0,1),""),"")</f>
        <v/>
      </c>
      <c r="AB68" s="12" t="str" cm="1">
        <f t="array" ref="AB68">IFERROR(_xlfn.XLOOKUP($I68,#REF!,_xlfn.XLOOKUP(AB$10,#REF!,#REF!,"",0,1),""),"")</f>
        <v/>
      </c>
      <c r="AC68" s="52" t="str" cm="1">
        <f t="array" ref="AC68">IFERROR(_xlfn.XLOOKUP($I68,#REF!,_xlfn.XLOOKUP(AC$10,#REF!,#REF!,"",0,1),""),"")</f>
        <v/>
      </c>
      <c r="AD68" s="12" t="str" cm="1">
        <f t="array" ref="AD68">IFERROR(_xlfn.XLOOKUP($I68,#REF!,_xlfn.XLOOKUP(AD$10,#REF!,#REF!,"",0,1),""),"")</f>
        <v/>
      </c>
      <c r="AE68" s="12"/>
      <c r="AF68" s="12" t="str" cm="1">
        <f t="array" ref="AF68">IFERROR(_xlfn.XLOOKUP($I68,#REF!,_xlfn.XLOOKUP(AF$10,#REF!,#REF!,"",0,1),""),"")</f>
        <v/>
      </c>
      <c r="AG68" s="12" t="str" cm="1">
        <f t="array" ref="AG68">IFERROR(_xlfn.XLOOKUP($I68,#REF!,_xlfn.XLOOKUP(AG$10,#REF!,#REF!,"",0,1),""),"")</f>
        <v/>
      </c>
      <c r="AH68" s="12" t="str" cm="1">
        <f t="array" ref="AH68">IFERROR(_xlfn.XLOOKUP($I68,#REF!,_xlfn.XLOOKUP(AH$10,#REF!,#REF!,"",0,1),""),"")</f>
        <v/>
      </c>
      <c r="AI68" s="12" t="str" cm="1">
        <f t="array" ref="AI68">IFERROR(_xlfn.XLOOKUP($I68,#REF!,_xlfn.XLOOKUP(AI$10,#REF!,#REF!,"",0,1),""),"")</f>
        <v/>
      </c>
      <c r="AJ68" s="12"/>
      <c r="AK68" s="12"/>
      <c r="AL68" s="11" t="str" cm="1">
        <f t="array" ref="AL68">IFERROR(_xlfn.XLOOKUP($I68,#REF!,_xlfn.XLOOKUP(AL$10,#REF!,#REF!,"",0,1),""),"")</f>
        <v/>
      </c>
      <c r="AM68" s="11" t="str" cm="1">
        <f t="array" ref="AM68">IFERROR(_xlfn.XLOOKUP($I68,#REF!,_xlfn.XLOOKUP(AM$10,#REF!,#REF!,"",0,1),""),"")</f>
        <v/>
      </c>
      <c r="AN68" s="11" t="str" cm="1">
        <f t="array" ref="AN68">IFERROR(_xlfn.XLOOKUP($I68,#REF!,_xlfn.XLOOKUP(AN$10,#REF!,#REF!,"",0,1),""),"")</f>
        <v/>
      </c>
      <c r="AO68" s="11" t="str" cm="1">
        <f t="array" ref="AO68">IFERROR(_xlfn.XLOOKUP($I68,#REF!,_xlfn.XLOOKUP(AO$10,#REF!,#REF!,"",0,1),""),"")</f>
        <v/>
      </c>
      <c r="AP68" s="11" t="str" cm="1">
        <f t="array" ref="AP68">IFERROR(_xlfn.XLOOKUP($I68,#REF!,_xlfn.XLOOKUP(AP$10,#REF!,#REF!,"",0,1),""),"")</f>
        <v/>
      </c>
      <c r="AQ68" s="11" t="str" cm="1">
        <f t="array" ref="AQ68">IFERROR(_xlfn.XLOOKUP($I68,#REF!,_xlfn.XLOOKUP(AQ$10,#REF!,#REF!,"",0,1),""),"")</f>
        <v/>
      </c>
      <c r="AR68" s="12" t="str" cm="1">
        <f t="array" ref="AR68">IFERROR(_xlfn.XLOOKUP($I68,#REF!,_xlfn.XLOOKUP(AR$10,#REF!,#REF!,"",0,1),""),"")</f>
        <v/>
      </c>
      <c r="AS68" s="12" t="str" cm="1">
        <f t="array" ref="AS68">IFERROR(_xlfn.XLOOKUP($I68,#REF!,_xlfn.XLOOKUP(AS$10,#REF!,#REF!,"",0,1),""),"")</f>
        <v/>
      </c>
      <c r="AT68" s="12" t="str" cm="1">
        <f t="array" ref="AT68">IFERROR(_xlfn.XLOOKUP($I68,#REF!,_xlfn.XLOOKUP(AT$10,#REF!,#REF!,"",0,1),""),"")</f>
        <v/>
      </c>
      <c r="AU68" s="12" t="str" cm="1">
        <f t="array" ref="AU68">IFERROR(_xlfn.XLOOKUP($I68,#REF!,_xlfn.XLOOKUP(AU$10,#REF!,#REF!,"",0,1),""),"")</f>
        <v/>
      </c>
      <c r="AV68" s="12" t="str" cm="1">
        <f t="array" ref="AV68">IFERROR(_xlfn.XLOOKUP($I68,#REF!,_xlfn.XLOOKUP(AV$10,#REF!,#REF!,"",0,1),""),"")</f>
        <v/>
      </c>
      <c r="AW68" s="12" t="str">
        <f>IFERROR(_xlfn.XLOOKUP($I68,#REF!,#REF!,""),"")</f>
        <v/>
      </c>
      <c r="AX68" s="12" t="str">
        <f>IFERROR(_xlfn.XLOOKUP($I68,#REF!,#REF!,""),"")</f>
        <v/>
      </c>
      <c r="AY68" s="12" t="str">
        <f>IFERROR(_xlfn.XLOOKUP($I68,#REF!,#REF!,""),"")</f>
        <v/>
      </c>
      <c r="AZ68" s="11" t="str" cm="1">
        <f t="array" ref="AZ68">IFERROR(_xlfn.XLOOKUP($I68,#REF!,_xlfn.XLOOKUP(AZ$10,#REF!,#REF!,"",0,1),""),"")</f>
        <v/>
      </c>
      <c r="BA68" s="11" t="str" cm="1">
        <f t="array" ref="BA68">IFERROR(_xlfn.XLOOKUP($I68,#REF!,_xlfn.XLOOKUP(BA$10,#REF!,#REF!,"",0,1),""),"")</f>
        <v/>
      </c>
      <c r="BB68" s="11" t="str">
        <f>IFERROR(_xlfn.XLOOKUP($I68,#REF!,#REF!,""),"")</f>
        <v/>
      </c>
      <c r="BC68" s="11" t="str">
        <f>IFERROR(_xlfn.XLOOKUP($I68,#REF!,#REF!,""),"")</f>
        <v/>
      </c>
      <c r="BD68" s="12" t="str" cm="1">
        <f t="array" ref="BD68">IFERROR(_xlfn.XLOOKUP($I68,#REF!,_xlfn.XLOOKUP(BD$10,#REF!,#REF!,"",0,1),""),"")</f>
        <v/>
      </c>
      <c r="BE68" s="12" t="str" cm="1">
        <f t="array" ref="BE68">IFERROR(_xlfn.XLOOKUP($I68,#REF!,_xlfn.XLOOKUP(BE$10,#REF!,#REF!,"",0,1),""),"")</f>
        <v/>
      </c>
      <c r="BF68" s="12" t="str" cm="1">
        <f t="array" ref="BF68">IFERROR(_xlfn.XLOOKUP($I68,#REF!,_xlfn.XLOOKUP(BF$10,#REF!,#REF!,"",0,1),""),"")</f>
        <v/>
      </c>
      <c r="BG68" s="12" t="str" cm="1">
        <f t="array" ref="BG68">IFERROR(_xlfn.XLOOKUP($I68,#REF!,_xlfn.XLOOKUP(BG$10,#REF!,#REF!,"",0,1),""),"")</f>
        <v/>
      </c>
      <c r="BH68" s="12" t="str" cm="1">
        <f t="array" ref="BH68">IFERROR(_xlfn.XLOOKUP($I68,#REF!,_xlfn.XLOOKUP(BH$10,#REF!,#REF!,"",0,1),""),"")</f>
        <v/>
      </c>
      <c r="BI68" s="12" t="str" cm="1">
        <f t="array" ref="BI68">IFERROR(_xlfn.XLOOKUP($I68,#REF!,_xlfn.XLOOKUP(BI$10,#REF!,#REF!,"",0,1),""),"")</f>
        <v/>
      </c>
      <c r="BJ68" s="12" t="str" cm="1">
        <f t="array" ref="BJ68">IFERROR(_xlfn.XLOOKUP($I68,#REF!,_xlfn.XLOOKUP(BJ$10,#REF!,#REF!,"",0,1),""),"")</f>
        <v/>
      </c>
      <c r="BK68" s="12" t="str" cm="1">
        <f t="array" ref="BK68">IFERROR(_xlfn.XLOOKUP($I68,#REF!,_xlfn.XLOOKUP(BK$10,#REF!,#REF!,"",0,1),""),"")</f>
        <v/>
      </c>
      <c r="BL68" s="12" t="str" cm="1">
        <f t="array" ref="BL68">IFERROR(_xlfn.XLOOKUP($I68,#REF!,_xlfn.XLOOKUP(BL$10,#REF!,#REF!,"",0,1),""),"")</f>
        <v/>
      </c>
      <c r="BM68" s="12" t="str">
        <f>IFERROR(_xlfn.XLOOKUP($I68,#REF!,#REF!,""),"")</f>
        <v/>
      </c>
      <c r="BN68" s="12" t="str">
        <f>IFERROR(_xlfn.XLOOKUP($I68,#REF!,#REF!,""),"")</f>
        <v/>
      </c>
      <c r="BO68" s="12" t="str">
        <f>IFERROR(_xlfn.XLOOKUP($I68,#REF!,#REF!,""),"")</f>
        <v/>
      </c>
      <c r="BP68" s="12" t="str" cm="1">
        <f t="array" ref="BP68">IFERROR(_xlfn.XLOOKUP($I68,#REF!,_xlfn.XLOOKUP(BP$10,#REF!,#REF!,"",0,1),""),"")</f>
        <v/>
      </c>
      <c r="BQ68" s="12" t="str">
        <f>IFERROR(_xlfn.XLOOKUP($I68,#REF!,#REF!,""),"")</f>
        <v/>
      </c>
      <c r="BR68" s="12" t="str">
        <f>IFERROR(_xlfn.XLOOKUP($I68,#REF!,#REF!,""),"")</f>
        <v/>
      </c>
      <c r="BS68" s="12" t="str">
        <f>IFERROR(_xlfn.XLOOKUP($I68,#REF!,#REF!,""),"")</f>
        <v/>
      </c>
      <c r="BT68" s="11" t="str">
        <f>IFERROR(_xlfn.XLOOKUP($I68,#REF!,#REF!,""),"")</f>
        <v/>
      </c>
      <c r="BU68" s="11" t="str">
        <f>IFERROR(_xlfn.XLOOKUP($I68,#REF!,#REF!,""),"")</f>
        <v/>
      </c>
      <c r="BV68" s="32" t="str">
        <f>IFERROR(_xlfn.XLOOKUP($I68,#REF!,#REF!,""),"")</f>
        <v/>
      </c>
      <c r="BW68" s="12" t="str">
        <f>IFERROR(_xlfn.XLOOKUP($I68,#REF!,#REF!,""),"")</f>
        <v/>
      </c>
    </row>
    <row r="69" spans="3:75" ht="52.35" customHeight="1" x14ac:dyDescent="0.3">
      <c r="C69" s="22" t="str">
        <f>IFERROR(_xlfn.XLOOKUP($I69,#REF!,#REF!,""),"")</f>
        <v/>
      </c>
      <c r="D69" s="19" t="str">
        <f>IFERROR(_xlfn.XLOOKUP($I69,#REF!,#REF!,""),"")</f>
        <v/>
      </c>
      <c r="E69" s="23" t="str">
        <f>IFERROR(_xlfn.XLOOKUP($I69,#REF!,#REF!,""),"")</f>
        <v/>
      </c>
      <c r="F69" s="19" t="str">
        <f>IFERROR(_xlfn.XLOOKUP($I69,#REF!,#REF!,""),"")</f>
        <v/>
      </c>
      <c r="G69" s="19" t="str">
        <f>IFERROR(_xlfn.XLOOKUP($I69,#REF!,#REF!,""),"")</f>
        <v/>
      </c>
      <c r="H69" s="19" t="str">
        <f>IFERROR(_xlfn.XLOOKUP($I69,#REF!,#REF!,""),"")</f>
        <v/>
      </c>
      <c r="I69" s="77">
        <v>110425</v>
      </c>
      <c r="J69" s="12" t="str" cm="1">
        <f t="array" ref="J69">IFERROR(_xlfn.XLOOKUP($I69,#REF!,_xlfn.XLOOKUP(J$10,#REF!,#REF!,"",0,1),""),"")</f>
        <v/>
      </c>
      <c r="K69" s="12" t="str" cm="1">
        <f t="array" ref="K69">IFERROR(_xlfn.XLOOKUP($I69,#REF!,_xlfn.XLOOKUP(K$10,#REF!,#REF!,"",0,1),""),"")</f>
        <v/>
      </c>
      <c r="L69" s="12" t="str" cm="1">
        <f t="array" ref="L69">IFERROR(_xlfn.XLOOKUP($I69,#REF!,_xlfn.XLOOKUP(L$10,#REF!,#REF!,"",0,1),""),"")</f>
        <v/>
      </c>
      <c r="M69" s="36" t="str" cm="1">
        <f t="array" ref="M69">IFERROR(_xlfn.XLOOKUP($I69,#REF!,_xlfn.XLOOKUP(M$10,#REF!,#REF!,"",0,1),""),"")</f>
        <v/>
      </c>
      <c r="N69" s="37" t="str" cm="1">
        <f t="array" ref="N69">IFERROR(_xlfn.XLOOKUP($I69,#REF!,_xlfn.XLOOKUP(N$10,#REF!,#REF!,"",0,1),""),"")</f>
        <v/>
      </c>
      <c r="O69" s="12" t="str" cm="1">
        <f t="array" ref="O69">IFERROR(_xlfn.XLOOKUP($I69,#REF!,_xlfn.XLOOKUP(O$10,#REF!,#REF!,"",0,1),""),"")</f>
        <v/>
      </c>
      <c r="P69" s="12" t="str" cm="1">
        <f t="array" ref="P69">IFERROR(_xlfn.XLOOKUP($I69,#REF!,_xlfn.XLOOKUP(P$10,#REF!,#REF!,"",0,1),""),"")</f>
        <v/>
      </c>
      <c r="Q69" s="12" t="str" cm="1">
        <f t="array" ref="Q69">IFERROR(_xlfn.XLOOKUP($I69,#REF!,_xlfn.XLOOKUP(Q$10,#REF!,#REF!,"",0,1),""),"")</f>
        <v/>
      </c>
      <c r="R69" s="12" t="str" cm="1">
        <f t="array" ref="R69">IFERROR(_xlfn.XLOOKUP($I69,#REF!,_xlfn.XLOOKUP(R$10,#REF!,#REF!,"",0,1),""),"")</f>
        <v/>
      </c>
      <c r="S69" s="12" t="str">
        <f>IFERROR(_xlfn.XLOOKUP($I69,#REF!,#REF!,""),"")</f>
        <v/>
      </c>
      <c r="T69" s="12" t="str">
        <f>IFERROR(_xlfn.XLOOKUP($I69,#REF!,#REF!,""),"")</f>
        <v/>
      </c>
      <c r="U69" s="12" t="str">
        <f>IFERROR(_xlfn.XLOOKUP($I69,#REF!,#REF!,""),"")</f>
        <v/>
      </c>
      <c r="V69" s="12" t="str">
        <f>IFERROR(_xlfn.XLOOKUP($I69,#REF!,#REF!,""),"")</f>
        <v/>
      </c>
      <c r="W69" s="74" t="str" cm="1">
        <f t="array" ref="W69">IFERROR(_xlfn.XLOOKUP($I69,#REF!,_xlfn.XLOOKUP(W$10,#REF!,#REF!,"",0,1),""),"")</f>
        <v/>
      </c>
      <c r="X69" s="74" t="str" cm="1">
        <f t="array" ref="X69">IFERROR(_xlfn.XLOOKUP($I69,#REF!,_xlfn.XLOOKUP(X$10,#REF!,#REF!,"",0,1),""),"")</f>
        <v/>
      </c>
      <c r="Y69" s="74" t="str" cm="1">
        <f t="array" ref="Y69">IFERROR(_xlfn.XLOOKUP($I69,#REF!,_xlfn.XLOOKUP(Y$10,#REF!,#REF!,"",0,1),""),"")</f>
        <v/>
      </c>
      <c r="Z69" s="74" t="str" cm="1">
        <f t="array" ref="Z69">IFERROR(_xlfn.XLOOKUP($I69,#REF!,_xlfn.XLOOKUP(Z$10,#REF!,#REF!,"",0,1),""),"")</f>
        <v/>
      </c>
      <c r="AA69" s="74" t="str" cm="1">
        <f t="array" ref="AA69">IFERROR(_xlfn.XLOOKUP($I69,#REF!,_xlfn.XLOOKUP(AA$10,#REF!,#REF!,"",0,1),""),"")</f>
        <v/>
      </c>
      <c r="AB69" s="12" t="str" cm="1">
        <f t="array" ref="AB69">IFERROR(_xlfn.XLOOKUP($I69,#REF!,_xlfn.XLOOKUP(AB$10,#REF!,#REF!,"",0,1),""),"")</f>
        <v/>
      </c>
      <c r="AC69" s="52" t="str" cm="1">
        <f t="array" ref="AC69">IFERROR(_xlfn.XLOOKUP($I69,#REF!,_xlfn.XLOOKUP(AC$10,#REF!,#REF!,"",0,1),""),"")</f>
        <v/>
      </c>
      <c r="AD69" s="12" t="str" cm="1">
        <f t="array" ref="AD69">IFERROR(_xlfn.XLOOKUP($I69,#REF!,_xlfn.XLOOKUP(AD$10,#REF!,#REF!,"",0,1),""),"")</f>
        <v/>
      </c>
      <c r="AE69" s="12"/>
      <c r="AF69" s="12" t="str" cm="1">
        <f t="array" ref="AF69">IFERROR(_xlfn.XLOOKUP($I69,#REF!,_xlfn.XLOOKUP(AF$10,#REF!,#REF!,"",0,1),""),"")</f>
        <v/>
      </c>
      <c r="AG69" s="12" t="str" cm="1">
        <f t="array" ref="AG69">IFERROR(_xlfn.XLOOKUP($I69,#REF!,_xlfn.XLOOKUP(AG$10,#REF!,#REF!,"",0,1),""),"")</f>
        <v/>
      </c>
      <c r="AH69" s="12" t="str" cm="1">
        <f t="array" ref="AH69">IFERROR(_xlfn.XLOOKUP($I69,#REF!,_xlfn.XLOOKUP(AH$10,#REF!,#REF!,"",0,1),""),"")</f>
        <v/>
      </c>
      <c r="AI69" s="12" t="str" cm="1">
        <f t="array" ref="AI69">IFERROR(_xlfn.XLOOKUP($I69,#REF!,_xlfn.XLOOKUP(AI$10,#REF!,#REF!,"",0,1),""),"")</f>
        <v/>
      </c>
      <c r="AJ69" s="12"/>
      <c r="AK69" s="12"/>
      <c r="AL69" s="11" t="str" cm="1">
        <f t="array" ref="AL69">IFERROR(_xlfn.XLOOKUP($I69,#REF!,_xlfn.XLOOKUP(AL$10,#REF!,#REF!,"",0,1),""),"")</f>
        <v/>
      </c>
      <c r="AM69" s="11" t="str" cm="1">
        <f t="array" ref="AM69">IFERROR(_xlfn.XLOOKUP($I69,#REF!,_xlfn.XLOOKUP(AM$10,#REF!,#REF!,"",0,1),""),"")</f>
        <v/>
      </c>
      <c r="AN69" s="11" t="str" cm="1">
        <f t="array" ref="AN69">IFERROR(_xlfn.XLOOKUP($I69,#REF!,_xlfn.XLOOKUP(AN$10,#REF!,#REF!,"",0,1),""),"")</f>
        <v/>
      </c>
      <c r="AO69" s="11" t="str" cm="1">
        <f t="array" ref="AO69">IFERROR(_xlfn.XLOOKUP($I69,#REF!,_xlfn.XLOOKUP(AO$10,#REF!,#REF!,"",0,1),""),"")</f>
        <v/>
      </c>
      <c r="AP69" s="11" t="str" cm="1">
        <f t="array" ref="AP69">IFERROR(_xlfn.XLOOKUP($I69,#REF!,_xlfn.XLOOKUP(AP$10,#REF!,#REF!,"",0,1),""),"")</f>
        <v/>
      </c>
      <c r="AQ69" s="11" t="str" cm="1">
        <f t="array" ref="AQ69">IFERROR(_xlfn.XLOOKUP($I69,#REF!,_xlfn.XLOOKUP(AQ$10,#REF!,#REF!,"",0,1),""),"")</f>
        <v/>
      </c>
      <c r="AR69" s="12" t="str" cm="1">
        <f t="array" ref="AR69">IFERROR(_xlfn.XLOOKUP($I69,#REF!,_xlfn.XLOOKUP(AR$10,#REF!,#REF!,"",0,1),""),"")</f>
        <v/>
      </c>
      <c r="AS69" s="12" t="str" cm="1">
        <f t="array" ref="AS69">IFERROR(_xlfn.XLOOKUP($I69,#REF!,_xlfn.XLOOKUP(AS$10,#REF!,#REF!,"",0,1),""),"")</f>
        <v/>
      </c>
      <c r="AT69" s="12" t="str" cm="1">
        <f t="array" ref="AT69">IFERROR(_xlfn.XLOOKUP($I69,#REF!,_xlfn.XLOOKUP(AT$10,#REF!,#REF!,"",0,1),""),"")</f>
        <v/>
      </c>
      <c r="AU69" s="12" t="str" cm="1">
        <f t="array" ref="AU69">IFERROR(_xlfn.XLOOKUP($I69,#REF!,_xlfn.XLOOKUP(AU$10,#REF!,#REF!,"",0,1),""),"")</f>
        <v/>
      </c>
      <c r="AV69" s="12" t="str" cm="1">
        <f t="array" ref="AV69">IFERROR(_xlfn.XLOOKUP($I69,#REF!,_xlfn.XLOOKUP(AV$10,#REF!,#REF!,"",0,1),""),"")</f>
        <v/>
      </c>
      <c r="AW69" s="12" t="str">
        <f>IFERROR(_xlfn.XLOOKUP($I69,#REF!,#REF!,""),"")</f>
        <v/>
      </c>
      <c r="AX69" s="12" t="str">
        <f>IFERROR(_xlfn.XLOOKUP($I69,#REF!,#REF!,""),"")</f>
        <v/>
      </c>
      <c r="AY69" s="12" t="str">
        <f>IFERROR(_xlfn.XLOOKUP($I69,#REF!,#REF!,""),"")</f>
        <v/>
      </c>
      <c r="AZ69" s="11" t="str" cm="1">
        <f t="array" ref="AZ69">IFERROR(_xlfn.XLOOKUP($I69,#REF!,_xlfn.XLOOKUP(AZ$10,#REF!,#REF!,"",0,1),""),"")</f>
        <v/>
      </c>
      <c r="BA69" s="11" t="str" cm="1">
        <f t="array" ref="BA69">IFERROR(_xlfn.XLOOKUP($I69,#REF!,_xlfn.XLOOKUP(BA$10,#REF!,#REF!,"",0,1),""),"")</f>
        <v/>
      </c>
      <c r="BB69" s="11" t="str">
        <f>IFERROR(_xlfn.XLOOKUP($I69,#REF!,#REF!,""),"")</f>
        <v/>
      </c>
      <c r="BC69" s="11" t="str">
        <f>IFERROR(_xlfn.XLOOKUP($I69,#REF!,#REF!,""),"")</f>
        <v/>
      </c>
      <c r="BD69" s="12" t="str" cm="1">
        <f t="array" ref="BD69">IFERROR(_xlfn.XLOOKUP($I69,#REF!,_xlfn.XLOOKUP(BD$10,#REF!,#REF!,"",0,1),""),"")</f>
        <v/>
      </c>
      <c r="BE69" s="12" t="str" cm="1">
        <f t="array" ref="BE69">IFERROR(_xlfn.XLOOKUP($I69,#REF!,_xlfn.XLOOKUP(BE$10,#REF!,#REF!,"",0,1),""),"")</f>
        <v/>
      </c>
      <c r="BF69" s="12" t="str" cm="1">
        <f t="array" ref="BF69">IFERROR(_xlfn.XLOOKUP($I69,#REF!,_xlfn.XLOOKUP(BF$10,#REF!,#REF!,"",0,1),""),"")</f>
        <v/>
      </c>
      <c r="BG69" s="12" t="str" cm="1">
        <f t="array" ref="BG69">IFERROR(_xlfn.XLOOKUP($I69,#REF!,_xlfn.XLOOKUP(BG$10,#REF!,#REF!,"",0,1),""),"")</f>
        <v/>
      </c>
      <c r="BH69" s="12" t="str" cm="1">
        <f t="array" ref="BH69">IFERROR(_xlfn.XLOOKUP($I69,#REF!,_xlfn.XLOOKUP(BH$10,#REF!,#REF!,"",0,1),""),"")</f>
        <v/>
      </c>
      <c r="BI69" s="12" t="str" cm="1">
        <f t="array" ref="BI69">IFERROR(_xlfn.XLOOKUP($I69,#REF!,_xlfn.XLOOKUP(BI$10,#REF!,#REF!,"",0,1),""),"")</f>
        <v/>
      </c>
      <c r="BJ69" s="12" t="str" cm="1">
        <f t="array" ref="BJ69">IFERROR(_xlfn.XLOOKUP($I69,#REF!,_xlfn.XLOOKUP(BJ$10,#REF!,#REF!,"",0,1),""),"")</f>
        <v/>
      </c>
      <c r="BK69" s="12" t="str" cm="1">
        <f t="array" ref="BK69">IFERROR(_xlfn.XLOOKUP($I69,#REF!,_xlfn.XLOOKUP(BK$10,#REF!,#REF!,"",0,1),""),"")</f>
        <v/>
      </c>
      <c r="BL69" s="12" t="str" cm="1">
        <f t="array" ref="BL69">IFERROR(_xlfn.XLOOKUP($I69,#REF!,_xlfn.XLOOKUP(BL$10,#REF!,#REF!,"",0,1),""),"")</f>
        <v/>
      </c>
      <c r="BM69" s="12" t="str">
        <f>IFERROR(_xlfn.XLOOKUP($I69,#REF!,#REF!,""),"")</f>
        <v/>
      </c>
      <c r="BN69" s="12" t="str">
        <f>IFERROR(_xlfn.XLOOKUP($I69,#REF!,#REF!,""),"")</f>
        <v/>
      </c>
      <c r="BO69" s="12" t="str">
        <f>IFERROR(_xlfn.XLOOKUP($I69,#REF!,#REF!,""),"")</f>
        <v/>
      </c>
      <c r="BP69" s="12" t="str" cm="1">
        <f t="array" ref="BP69">IFERROR(_xlfn.XLOOKUP($I69,#REF!,_xlfn.XLOOKUP(BP$10,#REF!,#REF!,"",0,1),""),"")</f>
        <v/>
      </c>
      <c r="BQ69" s="12" t="str">
        <f>IFERROR(_xlfn.XLOOKUP($I69,#REF!,#REF!,""),"")</f>
        <v/>
      </c>
      <c r="BR69" s="12" t="str">
        <f>IFERROR(_xlfn.XLOOKUP($I69,#REF!,#REF!,""),"")</f>
        <v/>
      </c>
      <c r="BS69" s="12" t="str">
        <f>IFERROR(_xlfn.XLOOKUP($I69,#REF!,#REF!,""),"")</f>
        <v/>
      </c>
      <c r="BT69" s="11" t="str">
        <f>IFERROR(_xlfn.XLOOKUP($I69,#REF!,#REF!,""),"")</f>
        <v/>
      </c>
      <c r="BU69" s="11" t="str">
        <f>IFERROR(_xlfn.XLOOKUP($I69,#REF!,#REF!,""),"")</f>
        <v/>
      </c>
      <c r="BV69" s="32" t="str">
        <f>IFERROR(_xlfn.XLOOKUP($I69,#REF!,#REF!,""),"")</f>
        <v/>
      </c>
      <c r="BW69" s="12" t="str">
        <f>IFERROR(_xlfn.XLOOKUP($I69,#REF!,#REF!,""),"")</f>
        <v/>
      </c>
    </row>
    <row r="70" spans="3:75" ht="52.2" x14ac:dyDescent="0.3">
      <c r="C70" s="22" t="s">
        <v>4</v>
      </c>
      <c r="D70" s="19" t="s">
        <v>260</v>
      </c>
      <c r="E70" s="24" t="s">
        <v>261</v>
      </c>
      <c r="F70" s="32" t="s">
        <v>88</v>
      </c>
      <c r="G70" s="19" t="s">
        <v>103</v>
      </c>
      <c r="H70" s="32" t="s">
        <v>262</v>
      </c>
      <c r="I70" s="77">
        <v>54768</v>
      </c>
      <c r="J70" s="12" t="str" cm="1">
        <f t="array" ref="J70">IFERROR(_xlfn.XLOOKUP($I70,#REF!,_xlfn.XLOOKUP(J$10,#REF!,#REF!,"",0,1),""),"")</f>
        <v/>
      </c>
      <c r="K70" s="12" t="str" cm="1">
        <f t="array" ref="K70">IFERROR(_xlfn.XLOOKUP($I70,#REF!,_xlfn.XLOOKUP(K$10,#REF!,#REF!,"",0,1),""),"")</f>
        <v/>
      </c>
      <c r="L70" s="12" t="str" cm="1">
        <f t="array" ref="L70">IFERROR(_xlfn.XLOOKUP($I70,#REF!,_xlfn.XLOOKUP(L$10,#REF!,#REF!,"",0,1),""),"")</f>
        <v/>
      </c>
      <c r="M70" s="36" t="str" cm="1">
        <f t="array" ref="M70">IFERROR(_xlfn.XLOOKUP($I70,#REF!,_xlfn.XLOOKUP(M$10,#REF!,#REF!,"",0,1),""),"")</f>
        <v/>
      </c>
      <c r="N70" s="36" t="str" cm="1">
        <f t="array" ref="N70">IFERROR(_xlfn.XLOOKUP($I70,#REF!,_xlfn.XLOOKUP(N$10,#REF!,#REF!,"",0,1),""),"")</f>
        <v/>
      </c>
      <c r="O70" s="12" t="str" cm="1">
        <f t="array" ref="O70">IFERROR(_xlfn.XLOOKUP($I70,#REF!,_xlfn.XLOOKUP(O$10,#REF!,#REF!,"",0,1),""),"")</f>
        <v/>
      </c>
      <c r="P70" s="12" t="str" cm="1">
        <f t="array" ref="P70">IFERROR(_xlfn.XLOOKUP($I70,#REF!,_xlfn.XLOOKUP(P$10,#REF!,#REF!,"",0,1),""),"")</f>
        <v/>
      </c>
      <c r="Q70" s="12" t="str" cm="1">
        <f t="array" ref="Q70">IFERROR(_xlfn.XLOOKUP($I70,#REF!,_xlfn.XLOOKUP(Q$10,#REF!,#REF!,"",0,1),""),"")</f>
        <v/>
      </c>
      <c r="R70" s="12" t="str" cm="1">
        <f t="array" ref="R70">IFERROR(_xlfn.XLOOKUP($I70,#REF!,_xlfn.XLOOKUP(R$10,#REF!,#REF!,"",0,1),""),"")</f>
        <v/>
      </c>
      <c r="S70" s="12" t="s">
        <v>193</v>
      </c>
      <c r="T70" s="12"/>
      <c r="U70" s="296" t="s">
        <v>193</v>
      </c>
      <c r="V70" s="12"/>
      <c r="W70" s="74" t="str" cm="1">
        <f t="array" ref="W70">IFERROR(_xlfn.XLOOKUP($I70,#REF!,_xlfn.XLOOKUP(W$10,#REF!,#REF!,"",0,1),""),"")</f>
        <v/>
      </c>
      <c r="X70" s="74" t="str" cm="1">
        <f t="array" ref="X70">IFERROR(_xlfn.XLOOKUP($I70,#REF!,_xlfn.XLOOKUP(X$10,#REF!,#REF!,"",0,1),""),"")</f>
        <v/>
      </c>
      <c r="Y70" s="74" t="str" cm="1">
        <f t="array" ref="Y70">IFERROR(_xlfn.XLOOKUP($I70,#REF!,_xlfn.XLOOKUP(Y$10,#REF!,#REF!,"",0,1),""),"")</f>
        <v/>
      </c>
      <c r="Z70" s="74" t="str" cm="1">
        <f t="array" ref="Z70">IFERROR(_xlfn.XLOOKUP($I70,#REF!,_xlfn.XLOOKUP(Z$10,#REF!,#REF!,"",0,1),""),"")</f>
        <v/>
      </c>
      <c r="AA70" s="74" t="str" cm="1">
        <f t="array" ref="AA70">IFERROR(_xlfn.XLOOKUP($I70,#REF!,_xlfn.XLOOKUP(AA$10,#REF!,#REF!,"",0,1),""),"")</f>
        <v/>
      </c>
      <c r="AB70" s="12" t="str" cm="1">
        <f t="array" ref="AB70">IFERROR(_xlfn.XLOOKUP($I70,#REF!,_xlfn.XLOOKUP(AB$10,#REF!,#REF!,"",0,1),""),"")</f>
        <v/>
      </c>
      <c r="AC70" s="64" t="str" cm="1">
        <f t="array" ref="AC70">IFERROR(_xlfn.XLOOKUP($I70,#REF!,_xlfn.XLOOKUP(AC$10,#REF!,#REF!,"",0,1),""),"")</f>
        <v/>
      </c>
      <c r="AD70" s="12" t="str" cm="1">
        <f t="array" ref="AD70">IFERROR(_xlfn.XLOOKUP($I70,#REF!,_xlfn.XLOOKUP(AD$10,#REF!,#REF!,"",0,1),""),"")</f>
        <v/>
      </c>
      <c r="AE70" s="12"/>
      <c r="AF70" s="12" t="str" cm="1">
        <f t="array" ref="AF70">IFERROR(_xlfn.XLOOKUP($I70,#REF!,_xlfn.XLOOKUP(AF$10,#REF!,#REF!,"",0,1),""),"")</f>
        <v/>
      </c>
      <c r="AG70" s="12" t="str" cm="1">
        <f t="array" ref="AG70">IFERROR(_xlfn.XLOOKUP($I70,#REF!,_xlfn.XLOOKUP(AG$10,#REF!,#REF!,"",0,1),""),"")</f>
        <v/>
      </c>
      <c r="AH70" s="12" t="str" cm="1">
        <f t="array" ref="AH70">IFERROR(_xlfn.XLOOKUP($I70,#REF!,_xlfn.XLOOKUP(AH$10,#REF!,#REF!,"",0,1),""),"")</f>
        <v/>
      </c>
      <c r="AI70" s="12" t="str" cm="1">
        <f t="array" ref="AI70">IFERROR(_xlfn.XLOOKUP($I70,#REF!,_xlfn.XLOOKUP(AI$10,#REF!,#REF!,"",0,1),""),"")</f>
        <v/>
      </c>
      <c r="AJ70" s="12"/>
      <c r="AK70" s="12"/>
      <c r="AL70" s="11" t="str" cm="1">
        <f t="array" ref="AL70">IFERROR(_xlfn.XLOOKUP($I70,#REF!,_xlfn.XLOOKUP(AL$10,#REF!,#REF!,"",0,1),""),"")</f>
        <v/>
      </c>
      <c r="AM70" s="11" t="str" cm="1">
        <f t="array" ref="AM70">IFERROR(_xlfn.XLOOKUP($I70,#REF!,_xlfn.XLOOKUP(AM$10,#REF!,#REF!,"",0,1),""),"")</f>
        <v/>
      </c>
      <c r="AN70" s="11" t="str" cm="1">
        <f t="array" ref="AN70">IFERROR(_xlfn.XLOOKUP($I70,#REF!,_xlfn.XLOOKUP(AN$10,#REF!,#REF!,"",0,1),""),"")</f>
        <v/>
      </c>
      <c r="AO70" s="11" t="str" cm="1">
        <f t="array" ref="AO70">IFERROR(_xlfn.XLOOKUP($I70,#REF!,_xlfn.XLOOKUP(AO$10,#REF!,#REF!,"",0,1),""),"")</f>
        <v/>
      </c>
      <c r="AP70" s="11" t="str" cm="1">
        <f t="array" ref="AP70">IFERROR(_xlfn.XLOOKUP($I70,#REF!,_xlfn.XLOOKUP(AP$10,#REF!,#REF!,"",0,1),""),"")</f>
        <v/>
      </c>
      <c r="AQ70" s="68" t="str" cm="1">
        <f t="array" ref="AQ70">IFERROR(_xlfn.XLOOKUP($I70,#REF!,_xlfn.XLOOKUP(AQ$10,#REF!,#REF!,"",0,1),""),"")</f>
        <v/>
      </c>
      <c r="AR70" s="12" t="str" cm="1">
        <f t="array" ref="AR70">IFERROR(_xlfn.XLOOKUP($I70,#REF!,_xlfn.XLOOKUP(AR$10,#REF!,#REF!,"",0,1),""),"")</f>
        <v/>
      </c>
      <c r="AS70" s="12" t="str" cm="1">
        <f t="array" ref="AS70">IFERROR(_xlfn.XLOOKUP($I70,#REF!,_xlfn.XLOOKUP(AS$10,#REF!,#REF!,"",0,1),""),"")</f>
        <v/>
      </c>
      <c r="AT70" s="12" t="str" cm="1">
        <f t="array" ref="AT70">IFERROR(_xlfn.XLOOKUP($I70,#REF!,_xlfn.XLOOKUP(AT$10,#REF!,#REF!,"",0,1),""),"")</f>
        <v/>
      </c>
      <c r="AU70" s="12" t="str" cm="1">
        <f t="array" ref="AU70">IFERROR(_xlfn.XLOOKUP($I70,#REF!,_xlfn.XLOOKUP(AU$10,#REF!,#REF!,"",0,1),""),"")</f>
        <v/>
      </c>
      <c r="AV70" s="12" t="str" cm="1">
        <f t="array" ref="AV70">IFERROR(_xlfn.XLOOKUP($I70,#REF!,_xlfn.XLOOKUP(AV$10,#REF!,#REF!,"",0,1),""),"")</f>
        <v/>
      </c>
      <c r="AW70" s="12"/>
      <c r="AX70" s="12"/>
      <c r="AY70" s="12"/>
      <c r="AZ70" s="11" t="str" cm="1">
        <f t="array" ref="AZ70">IFERROR(_xlfn.XLOOKUP($I70,#REF!,_xlfn.XLOOKUP(AZ$10,#REF!,#REF!,"",0,1),""),"")</f>
        <v/>
      </c>
      <c r="BA70" s="11" t="str" cm="1">
        <f t="array" ref="BA70">IFERROR(_xlfn.XLOOKUP($I70,#REF!,_xlfn.XLOOKUP(BA$10,#REF!,#REF!,"",0,1),""),"")</f>
        <v/>
      </c>
      <c r="BB70" s="11"/>
      <c r="BC70" s="11"/>
      <c r="BD70" s="12" t="str" cm="1">
        <f t="array" ref="BD70">IFERROR(_xlfn.XLOOKUP($I70,#REF!,_xlfn.XLOOKUP(BD$10,#REF!,#REF!,"",0,1),""),"")</f>
        <v/>
      </c>
      <c r="BE70" s="12" t="str" cm="1">
        <f t="array" ref="BE70">IFERROR(_xlfn.XLOOKUP($I70,#REF!,_xlfn.XLOOKUP(BE$10,#REF!,#REF!,"",0,1),""),"")</f>
        <v/>
      </c>
      <c r="BF70" s="12" t="str" cm="1">
        <f t="array" ref="BF70">IFERROR(_xlfn.XLOOKUP($I70,#REF!,_xlfn.XLOOKUP(BF$10,#REF!,#REF!,"",0,1),""),"")</f>
        <v/>
      </c>
      <c r="BG70" s="12" t="str" cm="1">
        <f t="array" ref="BG70">IFERROR(_xlfn.XLOOKUP($I70,#REF!,_xlfn.XLOOKUP(BG$10,#REF!,#REF!,"",0,1),""),"")</f>
        <v/>
      </c>
      <c r="BH70" s="12" t="str" cm="1">
        <f t="array" ref="BH70">IFERROR(_xlfn.XLOOKUP($I70,#REF!,_xlfn.XLOOKUP(BH$10,#REF!,#REF!,"",0,1),""),"")</f>
        <v/>
      </c>
      <c r="BI70" s="12" t="str" cm="1">
        <f t="array" ref="BI70">IFERROR(_xlfn.XLOOKUP($I70,#REF!,_xlfn.XLOOKUP(BI$10,#REF!,#REF!,"",0,1),""),"")</f>
        <v/>
      </c>
      <c r="BJ70" s="12" t="str" cm="1">
        <f t="array" ref="BJ70">IFERROR(_xlfn.XLOOKUP($I70,#REF!,_xlfn.XLOOKUP(BJ$10,#REF!,#REF!,"",0,1),""),"")</f>
        <v/>
      </c>
      <c r="BK70" s="12" t="str" cm="1">
        <f t="array" ref="BK70">IFERROR(_xlfn.XLOOKUP($I70,#REF!,_xlfn.XLOOKUP(BK$10,#REF!,#REF!,"",0,1),""),"")</f>
        <v/>
      </c>
      <c r="BL70" s="12" t="str" cm="1">
        <f t="array" ref="BL70">IFERROR(_xlfn.XLOOKUP($I70,#REF!,_xlfn.XLOOKUP(BL$10,#REF!,#REF!,"",0,1),""),"")</f>
        <v/>
      </c>
      <c r="BM70" s="12"/>
      <c r="BN70" s="12"/>
      <c r="BO70" s="12"/>
      <c r="BP70" s="12" t="s">
        <v>194</v>
      </c>
      <c r="BQ70" s="12"/>
      <c r="BR70" s="12"/>
      <c r="BS70" s="12"/>
      <c r="BT70" s="11"/>
      <c r="BU70" s="11"/>
      <c r="BV70" s="34" t="s">
        <v>16</v>
      </c>
    </row>
    <row r="71" spans="3:75" x14ac:dyDescent="0.3">
      <c r="AB71" s="12"/>
    </row>
    <row r="72" spans="3:75" x14ac:dyDescent="0.3">
      <c r="AB72" s="12"/>
    </row>
    <row r="73" spans="3:75" x14ac:dyDescent="0.3">
      <c r="AB73" s="12"/>
    </row>
    <row r="74" spans="3:75" x14ac:dyDescent="0.3">
      <c r="AB74" s="12"/>
    </row>
    <row r="75" spans="3:75" x14ac:dyDescent="0.3">
      <c r="AB75" s="12"/>
    </row>
    <row r="76" spans="3:75" x14ac:dyDescent="0.3">
      <c r="AB76" s="12"/>
    </row>
    <row r="77" spans="3:75" x14ac:dyDescent="0.3">
      <c r="AB77" s="12"/>
    </row>
    <row r="78" spans="3:75" x14ac:dyDescent="0.3">
      <c r="AB78" s="12"/>
    </row>
    <row r="79" spans="3:75" x14ac:dyDescent="0.3">
      <c r="AB79" s="12"/>
    </row>
    <row r="80" spans="3:75" x14ac:dyDescent="0.3">
      <c r="AB80" s="12"/>
    </row>
    <row r="81" spans="28:28" x14ac:dyDescent="0.3">
      <c r="AB81" s="12"/>
    </row>
    <row r="82" spans="28:28" x14ac:dyDescent="0.3">
      <c r="AB82" s="12"/>
    </row>
    <row r="83" spans="28:28" x14ac:dyDescent="0.3">
      <c r="AB83" s="12"/>
    </row>
  </sheetData>
  <autoFilter ref="C10:BZ10" xr:uid="{0DE7F4C8-C4D9-4718-9A45-DE15ED66A68A}"/>
  <mergeCells count="23">
    <mergeCell ref="O3:AC4"/>
    <mergeCell ref="J8:R8"/>
    <mergeCell ref="AC8:AH8"/>
    <mergeCell ref="AI8:AI9"/>
    <mergeCell ref="AL8:AQ8"/>
    <mergeCell ref="V9:V10"/>
    <mergeCell ref="AA9:AH9"/>
    <mergeCell ref="AL9:AQ9"/>
    <mergeCell ref="AR8:AZ8"/>
    <mergeCell ref="AR9:AZ9"/>
    <mergeCell ref="C9:I9"/>
    <mergeCell ref="J9:R9"/>
    <mergeCell ref="S9:S10"/>
    <mergeCell ref="T9:T10"/>
    <mergeCell ref="U9:U10"/>
    <mergeCell ref="BU9:BU10"/>
    <mergeCell ref="BV9:BV10"/>
    <mergeCell ref="BW9:BW10"/>
    <mergeCell ref="BD8:BP8"/>
    <mergeCell ref="BQ8:BS8"/>
    <mergeCell ref="BD9:BP9"/>
    <mergeCell ref="BQ9:BS9"/>
    <mergeCell ref="BT9:BT10"/>
  </mergeCells>
  <conditionalFormatting sqref="M11:M69 M70:N70">
    <cfRule type="containsText" dxfId="618" priority="1" operator="containsText" text="En Proceso">
      <formula>NOT(ISERROR(SEARCH("En Proceso",M11)))</formula>
    </cfRule>
    <cfRule type="containsText" dxfId="617" priority="2" operator="containsText" text="No">
      <formula>NOT(ISERROR(SEARCH("No",M11)))</formula>
    </cfRule>
    <cfRule type="containsText" dxfId="616" priority="3" operator="containsText" text="SI">
      <formula>NOT(ISERROR(SEARCH("SI",M11)))</formula>
    </cfRule>
  </conditionalFormatting>
  <dataValidations count="5">
    <dataValidation type="list" allowBlank="1" showInputMessage="1" showErrorMessage="1" sqref="H11:H70" xr:uid="{D3BB3457-A4E0-4A91-8CD5-8E9C3BE68B46}">
      <formula1>"Bogotá,Medellín,Nacional"</formula1>
    </dataValidation>
    <dataValidation type="list" allowBlank="1" showInputMessage="1" showErrorMessage="1" sqref="G11:G70" xr:uid="{7589719E-60B8-40A0-B892-DC9B4858F9E8}">
      <formula1>"Técnico,Tecnológico,Profesional,Especialización,Maestría,Doctorado"</formula1>
    </dataValidation>
    <dataValidation type="list" allowBlank="1" showInputMessage="1" showErrorMessage="1" sqref="F11:F70" xr:uid="{0C434DB3-EC8D-4AA4-9BB9-5737997647D4}">
      <formula1>"Presencial,Virtual,Híbrido"</formula1>
    </dataValidation>
    <dataValidation type="list" allowBlank="1" showInputMessage="1" showErrorMessage="1" sqref="D11:D70" xr:uid="{A45C55CF-32AF-4667-8F89-339B315E9B81}">
      <formula1>INDIRECT($B11)</formula1>
    </dataValidation>
    <dataValidation type="list" allowBlank="1" showInputMessage="1" showErrorMessage="1" sqref="AB71:AB83" xr:uid="{698CE51E-9A3E-4367-9B90-2669DE31A68D}">
      <formula1>$J$4:$J$6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828E-DC52-4BBD-B13F-7269EA388FFF}">
  <sheetPr codeName="Hoja7"/>
  <dimension ref="C1:AW84"/>
  <sheetViews>
    <sheetView showGridLines="0" tabSelected="1" topLeftCell="C8" zoomScale="50" zoomScaleNormal="50" workbookViewId="0">
      <pane xSplit="6" ySplit="8" topLeftCell="AN16" activePane="bottomRight" state="frozen"/>
      <selection activeCell="C8" sqref="C8"/>
      <selection pane="topRight" activeCell="I8" sqref="I8"/>
      <selection pane="bottomLeft" activeCell="C16" sqref="C16"/>
      <selection pane="bottomRight" activeCell="AW11" sqref="AW11"/>
    </sheetView>
  </sheetViews>
  <sheetFormatPr baseColWidth="10" defaultColWidth="11.44140625" defaultRowHeight="15" customHeight="1" x14ac:dyDescent="0.3"/>
  <cols>
    <col min="1" max="1" width="6.44140625" style="297" customWidth="1"/>
    <col min="2" max="2" width="5.44140625" style="297" customWidth="1"/>
    <col min="3" max="3" width="45.6640625" style="297" customWidth="1"/>
    <col min="4" max="4" width="39.33203125" style="297" customWidth="1"/>
    <col min="5" max="5" width="25.44140625" style="297" customWidth="1"/>
    <col min="6" max="6" width="18.5546875" style="297" customWidth="1"/>
    <col min="7" max="7" width="14.88671875" style="297" customWidth="1"/>
    <col min="8" max="9" width="21.5546875" style="297" customWidth="1"/>
    <col min="10" max="10" width="14.44140625" style="76" bestFit="1" customWidth="1"/>
    <col min="11" max="11" width="23.88671875" style="76" customWidth="1"/>
    <col min="12" max="12" width="33.33203125" style="298" customWidth="1"/>
    <col min="13" max="14" width="29.44140625" style="298" customWidth="1"/>
    <col min="15" max="15" width="26.88671875" style="298" customWidth="1"/>
    <col min="16" max="17" width="23.88671875" style="298" customWidth="1"/>
    <col min="18" max="18" width="36.33203125" style="298" customWidth="1"/>
    <col min="19" max="19" width="30.109375" style="298" customWidth="1"/>
    <col min="20" max="20" width="34.6640625" style="298" customWidth="1"/>
    <col min="21" max="21" width="31.88671875" style="298" customWidth="1"/>
    <col min="22" max="22" width="38.109375" style="298" customWidth="1"/>
    <col min="23" max="23" width="40" style="298" customWidth="1"/>
    <col min="24" max="26" width="32.88671875" style="298" customWidth="1"/>
    <col min="27" max="27" width="30.88671875" style="298" customWidth="1"/>
    <col min="28" max="28" width="32.88671875" style="298" customWidth="1"/>
    <col min="29" max="29" width="16.109375" style="298" customWidth="1"/>
    <col min="30" max="30" width="27" style="298" customWidth="1"/>
    <col min="31" max="31" width="24.33203125" style="298" customWidth="1"/>
    <col min="32" max="33" width="32.88671875" style="298" customWidth="1"/>
    <col min="34" max="34" width="25.5546875" style="298" customWidth="1"/>
    <col min="35" max="35" width="29.5546875" style="298" customWidth="1"/>
    <col min="36" max="45" width="26.109375" style="298" customWidth="1"/>
    <col min="46" max="46" width="20.5546875" style="297" customWidth="1"/>
    <col min="47" max="47" width="25.6640625" style="297" customWidth="1"/>
    <col min="48" max="48" width="22.88671875" style="297" customWidth="1"/>
    <col min="49" max="49" width="20.88671875" style="297" customWidth="1"/>
    <col min="50" max="16358" width="11.44140625" style="297"/>
    <col min="16359" max="16359" width="11.44140625" style="297" bestFit="1"/>
    <col min="16360" max="16384" width="11.44140625" style="297"/>
  </cols>
  <sheetData>
    <row r="1" spans="3:49" ht="15" customHeight="1" x14ac:dyDescent="0.3">
      <c r="W1" s="309" t="s">
        <v>396</v>
      </c>
    </row>
    <row r="2" spans="3:49" ht="15" customHeight="1" x14ac:dyDescent="0.3">
      <c r="W2" s="309" t="s">
        <v>396</v>
      </c>
    </row>
    <row r="3" spans="3:49" ht="32.85" customHeight="1" x14ac:dyDescent="0.3">
      <c r="W3" s="309" t="s">
        <v>396</v>
      </c>
      <c r="AI3" s="381"/>
      <c r="AJ3" s="381"/>
      <c r="AK3" s="381"/>
      <c r="AL3" s="75"/>
      <c r="AM3" s="75"/>
      <c r="AN3" s="75"/>
      <c r="AO3" s="75"/>
      <c r="AP3" s="75"/>
      <c r="AQ3" s="75"/>
      <c r="AR3" s="75"/>
      <c r="AS3" s="75"/>
    </row>
    <row r="4" spans="3:49" ht="28.8" x14ac:dyDescent="0.3">
      <c r="T4" s="299" t="s">
        <v>192</v>
      </c>
      <c r="W4" s="309" t="s">
        <v>396</v>
      </c>
      <c r="AI4" s="381"/>
      <c r="AJ4" s="381"/>
      <c r="AK4" s="381"/>
      <c r="AL4" s="75"/>
      <c r="AM4" s="75"/>
      <c r="AN4" s="75"/>
      <c r="AO4" s="75"/>
      <c r="AP4" s="75"/>
      <c r="AQ4" s="75"/>
      <c r="AR4" s="75"/>
      <c r="AS4" s="75"/>
    </row>
    <row r="5" spans="3:49" ht="28.8" x14ac:dyDescent="0.3">
      <c r="T5" s="299" t="s">
        <v>193</v>
      </c>
      <c r="W5" s="309" t="s">
        <v>396</v>
      </c>
    </row>
    <row r="6" spans="3:49" ht="28.8" x14ac:dyDescent="0.3">
      <c r="T6" s="299" t="s">
        <v>194</v>
      </c>
      <c r="W6" s="309" t="s">
        <v>396</v>
      </c>
    </row>
    <row r="7" spans="3:49" ht="14.85" customHeight="1" x14ac:dyDescent="0.3">
      <c r="C7" s="4"/>
      <c r="D7" s="4"/>
      <c r="E7" s="4"/>
      <c r="F7" s="4"/>
      <c r="G7" s="4"/>
      <c r="H7" s="4"/>
      <c r="I7" s="4"/>
      <c r="J7" s="75"/>
      <c r="K7" s="75"/>
      <c r="W7" s="309" t="s">
        <v>396</v>
      </c>
    </row>
    <row r="8" spans="3:49" ht="43.5" customHeight="1" x14ac:dyDescent="0.3">
      <c r="C8" s="391" t="s">
        <v>540</v>
      </c>
      <c r="D8" s="392"/>
      <c r="E8" s="392"/>
      <c r="F8" s="392"/>
      <c r="G8" s="392"/>
      <c r="H8" s="392"/>
      <c r="I8" s="392"/>
      <c r="J8" s="392"/>
      <c r="K8" s="393"/>
      <c r="L8" s="434" t="s">
        <v>415</v>
      </c>
      <c r="M8" s="435"/>
      <c r="N8" s="435"/>
      <c r="O8" s="435"/>
      <c r="P8" s="435"/>
      <c r="Q8" s="436"/>
      <c r="R8" s="386" t="s">
        <v>363</v>
      </c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9"/>
      <c r="AD8" s="386" t="s">
        <v>417</v>
      </c>
      <c r="AE8" s="387"/>
      <c r="AF8" s="387"/>
      <c r="AG8" s="387"/>
      <c r="AH8" s="387"/>
      <c r="AI8" s="387"/>
      <c r="AJ8" s="387"/>
      <c r="AK8" s="387"/>
      <c r="AL8" s="387"/>
      <c r="AM8" s="387"/>
      <c r="AN8" s="387"/>
      <c r="AO8" s="387"/>
      <c r="AP8" s="387"/>
      <c r="AQ8" s="387"/>
      <c r="AR8" s="387"/>
      <c r="AS8" s="389"/>
      <c r="AT8" s="386" t="s">
        <v>419</v>
      </c>
      <c r="AU8" s="387"/>
      <c r="AV8" s="328"/>
      <c r="AW8" s="328"/>
    </row>
    <row r="9" spans="3:49" s="300" customFormat="1" ht="23.25" customHeight="1" x14ac:dyDescent="0.3">
      <c r="C9" s="378" t="s">
        <v>410</v>
      </c>
      <c r="D9" s="379"/>
      <c r="E9" s="379"/>
      <c r="F9" s="379"/>
      <c r="G9" s="379"/>
      <c r="H9" s="379"/>
      <c r="I9" s="379"/>
      <c r="J9" s="379"/>
      <c r="K9" s="379"/>
      <c r="L9" s="383" t="s">
        <v>416</v>
      </c>
      <c r="M9" s="383"/>
      <c r="N9" s="383"/>
      <c r="O9" s="383"/>
      <c r="P9" s="384"/>
      <c r="Q9" s="314"/>
      <c r="R9" s="382" t="s">
        <v>411</v>
      </c>
      <c r="S9" s="385"/>
      <c r="T9" s="383"/>
      <c r="U9" s="383"/>
      <c r="V9" s="384"/>
      <c r="W9" s="318" t="s">
        <v>402</v>
      </c>
      <c r="X9" s="318" t="s">
        <v>369</v>
      </c>
      <c r="Y9" s="382" t="s">
        <v>198</v>
      </c>
      <c r="Z9" s="385"/>
      <c r="AA9" s="385"/>
      <c r="AB9" s="388"/>
      <c r="AC9" s="314"/>
      <c r="AD9" s="390" t="s">
        <v>412</v>
      </c>
      <c r="AE9" s="390"/>
      <c r="AF9" s="390"/>
      <c r="AG9" s="382" t="s">
        <v>413</v>
      </c>
      <c r="AH9" s="388"/>
      <c r="AI9" s="382" t="s">
        <v>414</v>
      </c>
      <c r="AJ9" s="385"/>
      <c r="AK9" s="388"/>
      <c r="AL9" s="327" t="s">
        <v>403</v>
      </c>
      <c r="AM9" s="325"/>
      <c r="AN9" s="325"/>
      <c r="AO9" s="325"/>
      <c r="AP9" s="325"/>
      <c r="AQ9" s="325"/>
      <c r="AR9" s="326"/>
      <c r="AS9" s="314"/>
      <c r="AT9" s="382" t="s">
        <v>418</v>
      </c>
      <c r="AU9" s="388"/>
      <c r="AV9" s="314"/>
      <c r="AW9" s="328"/>
    </row>
    <row r="10" spans="3:49" s="300" customFormat="1" ht="85.5" customHeight="1" x14ac:dyDescent="0.3">
      <c r="C10" s="378" t="s">
        <v>555</v>
      </c>
      <c r="D10" s="379"/>
      <c r="E10" s="379"/>
      <c r="F10" s="379"/>
      <c r="G10" s="379"/>
      <c r="H10" s="379"/>
      <c r="I10" s="379"/>
      <c r="J10" s="379"/>
      <c r="K10" s="380"/>
      <c r="L10" s="317" t="s">
        <v>380</v>
      </c>
      <c r="M10" s="317" t="s">
        <v>381</v>
      </c>
      <c r="N10" s="318" t="s">
        <v>546</v>
      </c>
      <c r="O10" s="317" t="s">
        <v>405</v>
      </c>
      <c r="P10" s="317" t="s">
        <v>547</v>
      </c>
      <c r="Q10" s="315" t="s">
        <v>406</v>
      </c>
      <c r="R10" s="321" t="s">
        <v>548</v>
      </c>
      <c r="S10" s="374" t="s">
        <v>549</v>
      </c>
      <c r="T10" s="318" t="s">
        <v>378</v>
      </c>
      <c r="U10" s="317" t="s">
        <v>550</v>
      </c>
      <c r="V10" s="318" t="s">
        <v>551</v>
      </c>
      <c r="W10" s="318" t="s">
        <v>397</v>
      </c>
      <c r="X10" s="318" t="s">
        <v>396</v>
      </c>
      <c r="Y10" s="319" t="s">
        <v>394</v>
      </c>
      <c r="Z10" s="321" t="s">
        <v>409</v>
      </c>
      <c r="AA10" s="321" t="s">
        <v>420</v>
      </c>
      <c r="AB10" s="321" t="s">
        <v>408</v>
      </c>
      <c r="AC10" s="315" t="s">
        <v>425</v>
      </c>
      <c r="AD10" s="317" t="s">
        <v>421</v>
      </c>
      <c r="AE10" s="317" t="s">
        <v>422</v>
      </c>
      <c r="AF10" s="317" t="s">
        <v>401</v>
      </c>
      <c r="AG10" s="318" t="s">
        <v>423</v>
      </c>
      <c r="AH10" s="319" t="s">
        <v>386</v>
      </c>
      <c r="AI10" s="317" t="s">
        <v>552</v>
      </c>
      <c r="AJ10" s="317" t="s">
        <v>393</v>
      </c>
      <c r="AK10" s="317" t="s">
        <v>370</v>
      </c>
      <c r="AL10" s="324" t="s">
        <v>371</v>
      </c>
      <c r="AM10" s="324" t="s">
        <v>376</v>
      </c>
      <c r="AN10" s="324" t="s">
        <v>372</v>
      </c>
      <c r="AO10" s="324" t="s">
        <v>373</v>
      </c>
      <c r="AP10" s="324" t="s">
        <v>389</v>
      </c>
      <c r="AQ10" s="324" t="s">
        <v>390</v>
      </c>
      <c r="AR10" s="324" t="s">
        <v>391</v>
      </c>
      <c r="AS10" s="315" t="s">
        <v>424</v>
      </c>
      <c r="AT10" s="317" t="s">
        <v>553</v>
      </c>
      <c r="AU10" s="317" t="s">
        <v>392</v>
      </c>
      <c r="AV10" s="315" t="s">
        <v>427</v>
      </c>
      <c r="AW10" s="315" t="s">
        <v>426</v>
      </c>
    </row>
    <row r="11" spans="3:49" ht="37.5" customHeight="1" x14ac:dyDescent="0.3">
      <c r="C11" s="67" t="s">
        <v>74</v>
      </c>
      <c r="D11" s="67" t="s">
        <v>73</v>
      </c>
      <c r="E11" s="301" t="s">
        <v>219</v>
      </c>
      <c r="F11" s="67" t="s">
        <v>75</v>
      </c>
      <c r="G11" s="67" t="s">
        <v>76</v>
      </c>
      <c r="H11" s="301" t="s">
        <v>368</v>
      </c>
      <c r="I11" s="67" t="s">
        <v>222</v>
      </c>
      <c r="J11" s="301" t="s">
        <v>223</v>
      </c>
      <c r="K11" s="301" t="s">
        <v>557</v>
      </c>
      <c r="L11" s="319" t="s">
        <v>224</v>
      </c>
      <c r="M11" s="319" t="s">
        <v>385</v>
      </c>
      <c r="N11" s="316" t="s">
        <v>364</v>
      </c>
      <c r="O11" s="317" t="s">
        <v>382</v>
      </c>
      <c r="P11" s="317" t="s">
        <v>404</v>
      </c>
      <c r="Q11" s="315" t="s">
        <v>556</v>
      </c>
      <c r="R11" s="320" t="s">
        <v>224</v>
      </c>
      <c r="S11" s="320" t="s">
        <v>537</v>
      </c>
      <c r="T11" s="319" t="s">
        <v>538</v>
      </c>
      <c r="U11" s="322" t="s">
        <v>539</v>
      </c>
      <c r="V11" s="319" t="s">
        <v>541</v>
      </c>
      <c r="W11" s="318" t="s">
        <v>396</v>
      </c>
      <c r="X11" s="318" t="s">
        <v>542</v>
      </c>
      <c r="Y11" s="323" t="s">
        <v>395</v>
      </c>
      <c r="Z11" s="318" t="s">
        <v>407</v>
      </c>
      <c r="AA11" s="318" t="s">
        <v>407</v>
      </c>
      <c r="AB11" s="321" t="s">
        <v>326</v>
      </c>
      <c r="AC11" s="315" t="s">
        <v>561</v>
      </c>
      <c r="AD11" s="317" t="s">
        <v>399</v>
      </c>
      <c r="AE11" s="317" t="s">
        <v>400</v>
      </c>
      <c r="AF11" s="324" t="s">
        <v>398</v>
      </c>
      <c r="AG11" s="318" t="s">
        <v>379</v>
      </c>
      <c r="AH11" s="319" t="s">
        <v>543</v>
      </c>
      <c r="AI11" s="319" t="s">
        <v>387</v>
      </c>
      <c r="AJ11" s="319" t="s">
        <v>554</v>
      </c>
      <c r="AK11" s="319" t="s">
        <v>388</v>
      </c>
      <c r="AL11" s="317" t="s">
        <v>159</v>
      </c>
      <c r="AM11" s="317" t="s">
        <v>544</v>
      </c>
      <c r="AN11" s="317" t="s">
        <v>545</v>
      </c>
      <c r="AO11" s="317" t="s">
        <v>249</v>
      </c>
      <c r="AP11" s="317" t="s">
        <v>375</v>
      </c>
      <c r="AQ11" s="317" t="s">
        <v>377</v>
      </c>
      <c r="AR11" s="317" t="s">
        <v>374</v>
      </c>
      <c r="AS11" s="315" t="s">
        <v>558</v>
      </c>
      <c r="AT11" s="319" t="s">
        <v>383</v>
      </c>
      <c r="AU11" s="317" t="s">
        <v>384</v>
      </c>
      <c r="AV11" s="315" t="s">
        <v>559</v>
      </c>
      <c r="AW11" s="315" t="s">
        <v>560</v>
      </c>
    </row>
    <row r="12" spans="3:49" s="302" customFormat="1" ht="18" customHeight="1" x14ac:dyDescent="0.3">
      <c r="C12" s="47" t="s">
        <v>4</v>
      </c>
      <c r="D12" s="47" t="s">
        <v>263</v>
      </c>
      <c r="E12" s="47" t="s">
        <v>264</v>
      </c>
      <c r="F12" s="47" t="s">
        <v>100</v>
      </c>
      <c r="G12" s="47" t="s">
        <v>89</v>
      </c>
      <c r="H12" s="47">
        <v>10</v>
      </c>
      <c r="I12" s="47" t="s">
        <v>265</v>
      </c>
      <c r="J12" s="77">
        <v>108274</v>
      </c>
      <c r="K12" s="51" t="s">
        <v>15</v>
      </c>
      <c r="L12" s="303" t="s">
        <v>267</v>
      </c>
      <c r="M12" s="303" t="s">
        <v>366</v>
      </c>
      <c r="N12" s="303" t="s">
        <v>366</v>
      </c>
      <c r="O12" s="303" t="s">
        <v>366</v>
      </c>
      <c r="P12" s="303" t="s">
        <v>366</v>
      </c>
      <c r="Q12" s="313">
        <f>(COUNTIF(L12:P12,"Finalizado")*1 + COUNTIF(L12:P12,"En proceso")*0.5 + COUNTIF(L12:P12,"Sin Iniciar")*0 + COUNTIF(L12:P12,"No aplica")*1) / 5</f>
        <v>0.2</v>
      </c>
      <c r="R12" s="303" t="s">
        <v>267</v>
      </c>
      <c r="S12" s="303" t="s">
        <v>267</v>
      </c>
      <c r="T12" s="303" t="s">
        <v>267</v>
      </c>
      <c r="U12" s="303" t="s">
        <v>266</v>
      </c>
      <c r="V12" s="303" t="s">
        <v>267</v>
      </c>
      <c r="W12" s="303" t="s">
        <v>267</v>
      </c>
      <c r="X12" s="304" t="s">
        <v>267</v>
      </c>
      <c r="Y12" s="303" t="s">
        <v>366</v>
      </c>
      <c r="Z12" s="176" t="s">
        <v>268</v>
      </c>
      <c r="AA12" s="303" t="s">
        <v>267</v>
      </c>
      <c r="AB12" s="303" t="s">
        <v>366</v>
      </c>
      <c r="AC12" s="313">
        <f>(COUNTIF(R12:AB12,"Finalizado")*1 + COUNTIF(R12:AB12,"En proceso")*0.5 + COUNTIF(R12:AB12,"Sin Iniciar")*0 + COUNTIF(R12:AB12,"No aplica")*1) / 9</f>
        <v>0.88888888888888884</v>
      </c>
      <c r="AD12" s="303" t="s">
        <v>266</v>
      </c>
      <c r="AE12" s="303" t="s">
        <v>266</v>
      </c>
      <c r="AF12" s="303" t="s">
        <v>266</v>
      </c>
      <c r="AG12" s="303" t="s">
        <v>266</v>
      </c>
      <c r="AH12" s="303" t="s">
        <v>366</v>
      </c>
      <c r="AI12" s="303" t="s">
        <v>366</v>
      </c>
      <c r="AJ12" s="303" t="s">
        <v>366</v>
      </c>
      <c r="AK12" s="303" t="s">
        <v>366</v>
      </c>
      <c r="AL12" s="303" t="s">
        <v>366</v>
      </c>
      <c r="AM12" s="303" t="s">
        <v>366</v>
      </c>
      <c r="AN12" s="303" t="s">
        <v>366</v>
      </c>
      <c r="AO12" s="303" t="s">
        <v>366</v>
      </c>
      <c r="AP12" s="303" t="s">
        <v>366</v>
      </c>
      <c r="AQ12" s="303" t="s">
        <v>366</v>
      </c>
      <c r="AR12" s="303" t="s">
        <v>366</v>
      </c>
      <c r="AS12" s="313">
        <f>(COUNTIF(AD12:AR12,"Finalizado")*1 + COUNTIF(AD12:AR12,"En proceso")*0.5 + COUNTIF(AD12:AR12,"Sin Iniciar")*0 + COUNTIF(AD12:AR12,"No aplica")*1) / 15</f>
        <v>0.26666666666666666</v>
      </c>
      <c r="AT12" s="303" t="s">
        <v>366</v>
      </c>
      <c r="AU12" s="303" t="s">
        <v>366</v>
      </c>
      <c r="AV12" s="313">
        <f>(COUNTIF(AT12:AU12,"Finalizado")*1 + COUNTIF(AT12:AU12,"En proceso")*0.5 + COUNTIF(AT12:AU12,"Sin Iniciar")*0 + COUNTIF(AT12:AU12,"No aplica")*1) / 2</f>
        <v>0</v>
      </c>
      <c r="AW12" s="329">
        <f>AVERAGE(Q12,AC12,AS12,AV12)</f>
        <v>0.33888888888888885</v>
      </c>
    </row>
    <row r="13" spans="3:49" s="302" customFormat="1" ht="18.75" customHeight="1" x14ac:dyDescent="0.3">
      <c r="C13" s="47" t="s">
        <v>4</v>
      </c>
      <c r="D13" s="47" t="s">
        <v>269</v>
      </c>
      <c r="E13" s="47" t="s">
        <v>105</v>
      </c>
      <c r="F13" s="47" t="s">
        <v>88</v>
      </c>
      <c r="G13" s="47" t="s">
        <v>89</v>
      </c>
      <c r="H13" s="47">
        <v>10</v>
      </c>
      <c r="I13" s="51" t="s">
        <v>262</v>
      </c>
      <c r="J13" s="77">
        <v>111231</v>
      </c>
      <c r="K13" s="51" t="s">
        <v>15</v>
      </c>
      <c r="L13" s="303" t="s">
        <v>267</v>
      </c>
      <c r="M13" s="303" t="s">
        <v>267</v>
      </c>
      <c r="N13" s="303" t="s">
        <v>365</v>
      </c>
      <c r="O13" s="303" t="s">
        <v>267</v>
      </c>
      <c r="P13" s="303" t="s">
        <v>366</v>
      </c>
      <c r="Q13" s="313">
        <f t="shared" ref="Q13:Q71" si="0">(COUNTIF(L13:P13,"Finalizado")*1 + COUNTIF(L13:P13,"En proceso")*0.5 + COUNTIF(L13:P13,"Sin Iniciar")*0 + COUNTIF(L13:P13,"No aplica")*1) / 5</f>
        <v>0.7</v>
      </c>
      <c r="R13" s="303" t="s">
        <v>267</v>
      </c>
      <c r="S13" s="303" t="s">
        <v>267</v>
      </c>
      <c r="T13" s="303" t="s">
        <v>267</v>
      </c>
      <c r="U13" s="303" t="s">
        <v>267</v>
      </c>
      <c r="V13" s="303" t="s">
        <v>267</v>
      </c>
      <c r="W13" s="303" t="s">
        <v>267</v>
      </c>
      <c r="X13" s="304" t="s">
        <v>271</v>
      </c>
      <c r="Y13" s="303" t="s">
        <v>366</v>
      </c>
      <c r="Z13" s="176" t="s">
        <v>272</v>
      </c>
      <c r="AA13" s="303" t="s">
        <v>365</v>
      </c>
      <c r="AB13" s="303" t="s">
        <v>366</v>
      </c>
      <c r="AC13" s="313">
        <f t="shared" ref="AC13:AC71" si="1">(COUNTIF(R13:AB13,"Finalizado")*1 + COUNTIF(R13:AB13,"En proceso")*0.5 + COUNTIF(R13:AB13,"Sin Iniciar")*0 + COUNTIF(R13:AB13,"No aplica")*1) / 9</f>
        <v>0.72222222222222221</v>
      </c>
      <c r="AD13" s="303" t="s">
        <v>267</v>
      </c>
      <c r="AE13" s="303" t="s">
        <v>267</v>
      </c>
      <c r="AF13" s="303" t="s">
        <v>365</v>
      </c>
      <c r="AG13" s="303" t="s">
        <v>365</v>
      </c>
      <c r="AH13" s="303" t="s">
        <v>366</v>
      </c>
      <c r="AI13" s="303" t="s">
        <v>365</v>
      </c>
      <c r="AJ13" s="303" t="s">
        <v>366</v>
      </c>
      <c r="AK13" s="303" t="s">
        <v>365</v>
      </c>
      <c r="AL13" s="303" t="s">
        <v>366</v>
      </c>
      <c r="AM13" s="303" t="s">
        <v>366</v>
      </c>
      <c r="AN13" s="303" t="s">
        <v>366</v>
      </c>
      <c r="AO13" s="303" t="s">
        <v>366</v>
      </c>
      <c r="AP13" s="303" t="s">
        <v>366</v>
      </c>
      <c r="AQ13" s="303" t="s">
        <v>366</v>
      </c>
      <c r="AR13" s="303" t="s">
        <v>366</v>
      </c>
      <c r="AS13" s="313">
        <f t="shared" ref="AS13:AS71" si="2">(COUNTIF(AD13:AR13,"Finalizado")*1 + COUNTIF(AD13:AR13,"En proceso")*0.5 + COUNTIF(AD13:AR13,"Sin Iniciar")*0 + COUNTIF(AD13:AR13,"No aplica")*1) / 15</f>
        <v>0.26666666666666666</v>
      </c>
      <c r="AT13" s="303" t="s">
        <v>366</v>
      </c>
      <c r="AU13" s="303" t="s">
        <v>366</v>
      </c>
      <c r="AV13" s="313">
        <f t="shared" ref="AV13:AV71" si="3">(COUNTIF(AT13:AU13,"Finalizado")*1 + COUNTIF(AT13:AU13,"En proceso")*0.5 + COUNTIF(AT13:AU13,"Sin Iniciar")*0 + COUNTIF(AT13:AU13,"No aplica")*1) / 2</f>
        <v>0</v>
      </c>
      <c r="AW13" s="329">
        <f t="shared" ref="AW13:AW71" si="4">AVERAGE(Q13,AC13,AS13,AV13)</f>
        <v>0.42222222222222217</v>
      </c>
    </row>
    <row r="14" spans="3:49" s="302" customFormat="1" ht="18.75" customHeight="1" x14ac:dyDescent="0.3">
      <c r="C14" s="47" t="s">
        <v>4</v>
      </c>
      <c r="D14" s="47" t="s">
        <v>269</v>
      </c>
      <c r="E14" s="47" t="s">
        <v>104</v>
      </c>
      <c r="F14" s="47" t="s">
        <v>88</v>
      </c>
      <c r="G14" s="47" t="s">
        <v>106</v>
      </c>
      <c r="H14" s="47">
        <v>10</v>
      </c>
      <c r="I14" s="51" t="s">
        <v>262</v>
      </c>
      <c r="J14" s="77">
        <v>101647</v>
      </c>
      <c r="K14" s="51" t="s">
        <v>14</v>
      </c>
      <c r="L14" s="303" t="s">
        <v>267</v>
      </c>
      <c r="M14" s="303" t="s">
        <v>267</v>
      </c>
      <c r="N14" s="303" t="s">
        <v>267</v>
      </c>
      <c r="O14" s="303" t="s">
        <v>267</v>
      </c>
      <c r="P14" s="303" t="s">
        <v>366</v>
      </c>
      <c r="Q14" s="313">
        <f t="shared" si="0"/>
        <v>0.8</v>
      </c>
      <c r="R14" s="303" t="s">
        <v>267</v>
      </c>
      <c r="S14" s="303" t="s">
        <v>267</v>
      </c>
      <c r="T14" s="303" t="s">
        <v>267</v>
      </c>
      <c r="U14" s="303" t="s">
        <v>267</v>
      </c>
      <c r="V14" s="303" t="s">
        <v>267</v>
      </c>
      <c r="W14" s="303" t="s">
        <v>267</v>
      </c>
      <c r="X14" s="304" t="s">
        <v>267</v>
      </c>
      <c r="Y14" s="303" t="s">
        <v>366</v>
      </c>
      <c r="Z14" s="176" t="s">
        <v>272</v>
      </c>
      <c r="AA14" s="303" t="s">
        <v>365</v>
      </c>
      <c r="AB14" s="303" t="s">
        <v>366</v>
      </c>
      <c r="AC14" s="313">
        <f t="shared" si="1"/>
        <v>0.83333333333333337</v>
      </c>
      <c r="AD14" s="303" t="s">
        <v>267</v>
      </c>
      <c r="AE14" s="303" t="s">
        <v>267</v>
      </c>
      <c r="AF14" s="303" t="s">
        <v>267</v>
      </c>
      <c r="AG14" s="303" t="s">
        <v>365</v>
      </c>
      <c r="AH14" s="303" t="s">
        <v>366</v>
      </c>
      <c r="AI14" s="303" t="s">
        <v>366</v>
      </c>
      <c r="AJ14" s="303" t="s">
        <v>366</v>
      </c>
      <c r="AK14" s="303" t="s">
        <v>366</v>
      </c>
      <c r="AL14" s="312" t="s">
        <v>266</v>
      </c>
      <c r="AM14" s="303" t="s">
        <v>266</v>
      </c>
      <c r="AN14" s="303" t="s">
        <v>266</v>
      </c>
      <c r="AO14" s="303" t="s">
        <v>266</v>
      </c>
      <c r="AP14" s="303" t="s">
        <v>266</v>
      </c>
      <c r="AQ14" s="303" t="s">
        <v>266</v>
      </c>
      <c r="AR14" s="303" t="s">
        <v>266</v>
      </c>
      <c r="AS14" s="313">
        <f t="shared" si="2"/>
        <v>0.7</v>
      </c>
      <c r="AT14" s="303" t="s">
        <v>366</v>
      </c>
      <c r="AU14" s="303" t="s">
        <v>366</v>
      </c>
      <c r="AV14" s="313">
        <f t="shared" si="3"/>
        <v>0</v>
      </c>
      <c r="AW14" s="329">
        <f t="shared" si="4"/>
        <v>0.58333333333333326</v>
      </c>
    </row>
    <row r="15" spans="3:49" s="302" customFormat="1" ht="18.75" customHeight="1" x14ac:dyDescent="0.3">
      <c r="C15" s="47" t="s">
        <v>4</v>
      </c>
      <c r="D15" s="47" t="s">
        <v>269</v>
      </c>
      <c r="E15" s="47" t="s">
        <v>105</v>
      </c>
      <c r="F15" s="47" t="s">
        <v>6</v>
      </c>
      <c r="G15" s="47" t="s">
        <v>89</v>
      </c>
      <c r="H15" s="47">
        <v>10</v>
      </c>
      <c r="I15" s="51" t="s">
        <v>265</v>
      </c>
      <c r="J15" s="77">
        <v>102464</v>
      </c>
      <c r="K15" s="51" t="s">
        <v>15</v>
      </c>
      <c r="L15" s="303" t="s">
        <v>267</v>
      </c>
      <c r="M15" s="303" t="s">
        <v>366</v>
      </c>
      <c r="N15" s="303" t="s">
        <v>366</v>
      </c>
      <c r="O15" s="303" t="s">
        <v>366</v>
      </c>
      <c r="P15" s="303" t="s">
        <v>366</v>
      </c>
      <c r="Q15" s="313">
        <f t="shared" si="0"/>
        <v>0.2</v>
      </c>
      <c r="R15" s="303" t="s">
        <v>267</v>
      </c>
      <c r="S15" s="303" t="s">
        <v>267</v>
      </c>
      <c r="T15" s="303" t="s">
        <v>267</v>
      </c>
      <c r="U15" s="303" t="s">
        <v>267</v>
      </c>
      <c r="V15" s="303" t="s">
        <v>267</v>
      </c>
      <c r="W15" s="303" t="s">
        <v>267</v>
      </c>
      <c r="X15" s="304" t="s">
        <v>271</v>
      </c>
      <c r="Y15" s="303" t="s">
        <v>366</v>
      </c>
      <c r="Z15" s="176" t="s">
        <v>268</v>
      </c>
      <c r="AA15" s="303" t="s">
        <v>365</v>
      </c>
      <c r="AB15" s="303" t="s">
        <v>366</v>
      </c>
      <c r="AC15" s="313">
        <f t="shared" si="1"/>
        <v>0.72222222222222221</v>
      </c>
      <c r="AD15" s="303" t="s">
        <v>366</v>
      </c>
      <c r="AE15" s="303" t="s">
        <v>366</v>
      </c>
      <c r="AF15" s="303" t="s">
        <v>366</v>
      </c>
      <c r="AG15" s="303" t="s">
        <v>366</v>
      </c>
      <c r="AH15" s="303" t="s">
        <v>366</v>
      </c>
      <c r="AI15" s="303" t="s">
        <v>366</v>
      </c>
      <c r="AJ15" s="303" t="s">
        <v>366</v>
      </c>
      <c r="AK15" s="303" t="s">
        <v>366</v>
      </c>
      <c r="AL15" s="303" t="s">
        <v>366</v>
      </c>
      <c r="AM15" s="303" t="s">
        <v>366</v>
      </c>
      <c r="AN15" s="303" t="s">
        <v>366</v>
      </c>
      <c r="AO15" s="303" t="s">
        <v>366</v>
      </c>
      <c r="AP15" s="303" t="s">
        <v>366</v>
      </c>
      <c r="AQ15" s="303" t="s">
        <v>366</v>
      </c>
      <c r="AR15" s="303" t="s">
        <v>366</v>
      </c>
      <c r="AS15" s="313">
        <f t="shared" si="2"/>
        <v>0</v>
      </c>
      <c r="AT15" s="303" t="s">
        <v>366</v>
      </c>
      <c r="AU15" s="303" t="s">
        <v>366</v>
      </c>
      <c r="AV15" s="313">
        <f t="shared" si="3"/>
        <v>0</v>
      </c>
      <c r="AW15" s="329">
        <f t="shared" si="4"/>
        <v>0.23055555555555557</v>
      </c>
    </row>
    <row r="16" spans="3:49" s="302" customFormat="1" ht="18.75" customHeight="1" x14ac:dyDescent="0.3">
      <c r="C16" s="47" t="s">
        <v>10</v>
      </c>
      <c r="D16" s="47" t="s">
        <v>123</v>
      </c>
      <c r="E16" s="47" t="s">
        <v>64</v>
      </c>
      <c r="F16" s="47" t="s">
        <v>6</v>
      </c>
      <c r="G16" s="47" t="s">
        <v>89</v>
      </c>
      <c r="H16" s="47">
        <v>10</v>
      </c>
      <c r="I16" s="51" t="s">
        <v>265</v>
      </c>
      <c r="J16" s="77">
        <v>107733</v>
      </c>
      <c r="K16" s="48" t="s">
        <v>15</v>
      </c>
      <c r="L16" s="303" t="s">
        <v>366</v>
      </c>
      <c r="M16" s="303" t="s">
        <v>366</v>
      </c>
      <c r="N16" s="303" t="s">
        <v>366</v>
      </c>
      <c r="O16" s="303" t="s">
        <v>366</v>
      </c>
      <c r="P16" s="303" t="s">
        <v>366</v>
      </c>
      <c r="Q16" s="313">
        <f t="shared" si="0"/>
        <v>0</v>
      </c>
      <c r="R16" s="303" t="s">
        <v>366</v>
      </c>
      <c r="S16" s="303" t="s">
        <v>365</v>
      </c>
      <c r="T16" s="303" t="s">
        <v>365</v>
      </c>
      <c r="U16" s="303" t="s">
        <v>366</v>
      </c>
      <c r="V16" s="303" t="s">
        <v>366</v>
      </c>
      <c r="W16" s="303" t="s">
        <v>366</v>
      </c>
      <c r="X16" s="303" t="s">
        <v>366</v>
      </c>
      <c r="Y16" s="303" t="s">
        <v>366</v>
      </c>
      <c r="Z16" s="176" t="s">
        <v>272</v>
      </c>
      <c r="AA16" s="303" t="s">
        <v>365</v>
      </c>
      <c r="AB16" s="303" t="s">
        <v>366</v>
      </c>
      <c r="AC16" s="313">
        <f t="shared" si="1"/>
        <v>0.16666666666666666</v>
      </c>
      <c r="AD16" s="303" t="s">
        <v>366</v>
      </c>
      <c r="AE16" s="303" t="s">
        <v>366</v>
      </c>
      <c r="AF16" s="303" t="s">
        <v>366</v>
      </c>
      <c r="AG16" s="303" t="s">
        <v>366</v>
      </c>
      <c r="AH16" s="303" t="s">
        <v>366</v>
      </c>
      <c r="AI16" s="303" t="s">
        <v>366</v>
      </c>
      <c r="AJ16" s="303" t="s">
        <v>366</v>
      </c>
      <c r="AK16" s="303" t="s">
        <v>366</v>
      </c>
      <c r="AL16" s="303" t="s">
        <v>366</v>
      </c>
      <c r="AM16" s="303" t="s">
        <v>366</v>
      </c>
      <c r="AN16" s="303" t="s">
        <v>366</v>
      </c>
      <c r="AO16" s="303" t="s">
        <v>366</v>
      </c>
      <c r="AP16" s="303" t="s">
        <v>366</v>
      </c>
      <c r="AQ16" s="303" t="s">
        <v>366</v>
      </c>
      <c r="AR16" s="303" t="s">
        <v>366</v>
      </c>
      <c r="AS16" s="313">
        <f t="shared" si="2"/>
        <v>0</v>
      </c>
      <c r="AT16" s="303" t="s">
        <v>366</v>
      </c>
      <c r="AU16" s="303" t="s">
        <v>366</v>
      </c>
      <c r="AV16" s="313">
        <f t="shared" si="3"/>
        <v>0</v>
      </c>
      <c r="AW16" s="329">
        <f t="shared" si="4"/>
        <v>4.1666666666666664E-2</v>
      </c>
    </row>
    <row r="17" spans="3:49" s="302" customFormat="1" ht="18.75" customHeight="1" x14ac:dyDescent="0.3">
      <c r="C17" s="47" t="s">
        <v>10</v>
      </c>
      <c r="D17" s="47" t="s">
        <v>123</v>
      </c>
      <c r="E17" s="47" t="s">
        <v>274</v>
      </c>
      <c r="F17" s="47" t="s">
        <v>100</v>
      </c>
      <c r="G17" s="47" t="s">
        <v>89</v>
      </c>
      <c r="H17" s="47">
        <v>10</v>
      </c>
      <c r="I17" s="51" t="s">
        <v>275</v>
      </c>
      <c r="J17" s="77">
        <v>101525</v>
      </c>
      <c r="K17" s="51" t="s">
        <v>15</v>
      </c>
      <c r="L17" s="303" t="s">
        <v>267</v>
      </c>
      <c r="M17" s="303" t="s">
        <v>366</v>
      </c>
      <c r="N17" s="303" t="s">
        <v>366</v>
      </c>
      <c r="O17" s="303" t="s">
        <v>366</v>
      </c>
      <c r="P17" s="303" t="s">
        <v>366</v>
      </c>
      <c r="Q17" s="313">
        <f t="shared" si="0"/>
        <v>0.2</v>
      </c>
      <c r="R17" s="303" t="s">
        <v>267</v>
      </c>
      <c r="S17" s="303" t="s">
        <v>267</v>
      </c>
      <c r="T17" s="303" t="s">
        <v>267</v>
      </c>
      <c r="U17" s="303" t="s">
        <v>266</v>
      </c>
      <c r="V17" s="303" t="s">
        <v>267</v>
      </c>
      <c r="W17" s="303" t="s">
        <v>267</v>
      </c>
      <c r="X17" s="304" t="s">
        <v>267</v>
      </c>
      <c r="Y17" s="303" t="s">
        <v>366</v>
      </c>
      <c r="Z17" s="176" t="s">
        <v>272</v>
      </c>
      <c r="AA17" s="303" t="s">
        <v>365</v>
      </c>
      <c r="AB17" s="303" t="s">
        <v>366</v>
      </c>
      <c r="AC17" s="313">
        <f t="shared" si="1"/>
        <v>0.83333333333333337</v>
      </c>
      <c r="AD17" s="303" t="s">
        <v>266</v>
      </c>
      <c r="AE17" s="303" t="s">
        <v>266</v>
      </c>
      <c r="AF17" s="303" t="s">
        <v>266</v>
      </c>
      <c r="AG17" s="303" t="s">
        <v>266</v>
      </c>
      <c r="AH17" s="303" t="s">
        <v>366</v>
      </c>
      <c r="AI17" s="303" t="s">
        <v>366</v>
      </c>
      <c r="AJ17" s="303" t="s">
        <v>366</v>
      </c>
      <c r="AK17" s="303" t="s">
        <v>366</v>
      </c>
      <c r="AL17" s="303" t="s">
        <v>366</v>
      </c>
      <c r="AM17" s="303" t="s">
        <v>366</v>
      </c>
      <c r="AN17" s="303" t="s">
        <v>366</v>
      </c>
      <c r="AO17" s="303" t="s">
        <v>366</v>
      </c>
      <c r="AP17" s="303" t="s">
        <v>366</v>
      </c>
      <c r="AQ17" s="303" t="s">
        <v>366</v>
      </c>
      <c r="AR17" s="303" t="s">
        <v>366</v>
      </c>
      <c r="AS17" s="313">
        <f t="shared" si="2"/>
        <v>0.26666666666666666</v>
      </c>
      <c r="AT17" s="303" t="s">
        <v>366</v>
      </c>
      <c r="AU17" s="303" t="s">
        <v>366</v>
      </c>
      <c r="AV17" s="313">
        <f t="shared" si="3"/>
        <v>0</v>
      </c>
      <c r="AW17" s="329">
        <f t="shared" si="4"/>
        <v>0.32500000000000001</v>
      </c>
    </row>
    <row r="18" spans="3:49" s="302" customFormat="1" ht="17.399999999999999" x14ac:dyDescent="0.3">
      <c r="C18" s="47" t="s">
        <v>10</v>
      </c>
      <c r="D18" s="47" t="s">
        <v>123</v>
      </c>
      <c r="E18" s="47" t="s">
        <v>277</v>
      </c>
      <c r="F18" s="47" t="s">
        <v>100</v>
      </c>
      <c r="G18" s="47" t="s">
        <v>89</v>
      </c>
      <c r="H18" s="47">
        <v>10</v>
      </c>
      <c r="I18" s="51" t="s">
        <v>275</v>
      </c>
      <c r="J18" s="77">
        <v>111116</v>
      </c>
      <c r="K18" s="51" t="s">
        <v>15</v>
      </c>
      <c r="L18" s="303" t="s">
        <v>267</v>
      </c>
      <c r="M18" s="303" t="s">
        <v>366</v>
      </c>
      <c r="N18" s="303" t="s">
        <v>266</v>
      </c>
      <c r="O18" s="303" t="s">
        <v>366</v>
      </c>
      <c r="P18" s="303" t="s">
        <v>366</v>
      </c>
      <c r="Q18" s="313">
        <f t="shared" si="0"/>
        <v>0.4</v>
      </c>
      <c r="R18" s="303" t="s">
        <v>267</v>
      </c>
      <c r="S18" s="303" t="s">
        <v>267</v>
      </c>
      <c r="T18" s="303" t="s">
        <v>267</v>
      </c>
      <c r="U18" s="303" t="s">
        <v>266</v>
      </c>
      <c r="V18" s="303" t="s">
        <v>267</v>
      </c>
      <c r="W18" s="303" t="s">
        <v>267</v>
      </c>
      <c r="X18" s="304" t="s">
        <v>267</v>
      </c>
      <c r="Y18" s="303" t="s">
        <v>366</v>
      </c>
      <c r="Z18" s="176" t="s">
        <v>272</v>
      </c>
      <c r="AA18" s="303" t="s">
        <v>365</v>
      </c>
      <c r="AB18" s="303" t="s">
        <v>366</v>
      </c>
      <c r="AC18" s="313">
        <f t="shared" si="1"/>
        <v>0.83333333333333337</v>
      </c>
      <c r="AD18" s="303" t="s">
        <v>266</v>
      </c>
      <c r="AE18" s="303" t="s">
        <v>266</v>
      </c>
      <c r="AF18" s="303" t="s">
        <v>266</v>
      </c>
      <c r="AG18" s="303" t="s">
        <v>266</v>
      </c>
      <c r="AH18" s="303" t="s">
        <v>366</v>
      </c>
      <c r="AI18" s="303" t="s">
        <v>366</v>
      </c>
      <c r="AJ18" s="303" t="s">
        <v>366</v>
      </c>
      <c r="AK18" s="303" t="s">
        <v>366</v>
      </c>
      <c r="AL18" s="312" t="s">
        <v>266</v>
      </c>
      <c r="AM18" s="303" t="s">
        <v>266</v>
      </c>
      <c r="AN18" s="303" t="s">
        <v>266</v>
      </c>
      <c r="AO18" s="303" t="s">
        <v>266</v>
      </c>
      <c r="AP18" s="303" t="s">
        <v>266</v>
      </c>
      <c r="AQ18" s="303" t="s">
        <v>266</v>
      </c>
      <c r="AR18" s="303" t="s">
        <v>266</v>
      </c>
      <c r="AS18" s="313">
        <f t="shared" si="2"/>
        <v>0.73333333333333328</v>
      </c>
      <c r="AT18" s="303" t="s">
        <v>366</v>
      </c>
      <c r="AU18" s="303" t="s">
        <v>366</v>
      </c>
      <c r="AV18" s="313">
        <f t="shared" si="3"/>
        <v>0</v>
      </c>
      <c r="AW18" s="329">
        <f t="shared" si="4"/>
        <v>0.4916666666666667</v>
      </c>
    </row>
    <row r="19" spans="3:49" s="302" customFormat="1" ht="18.75" customHeight="1" x14ac:dyDescent="0.3">
      <c r="C19" s="47" t="s">
        <v>10</v>
      </c>
      <c r="D19" s="47" t="s">
        <v>278</v>
      </c>
      <c r="E19" s="47" t="s">
        <v>279</v>
      </c>
      <c r="F19" s="47" t="s">
        <v>88</v>
      </c>
      <c r="G19" s="47" t="s">
        <v>101</v>
      </c>
      <c r="H19" s="47">
        <v>10</v>
      </c>
      <c r="I19" s="51" t="s">
        <v>262</v>
      </c>
      <c r="J19" s="77">
        <v>101388</v>
      </c>
      <c r="K19" s="51" t="s">
        <v>15</v>
      </c>
      <c r="L19" s="303" t="s">
        <v>267</v>
      </c>
      <c r="M19" s="303" t="s">
        <v>267</v>
      </c>
      <c r="N19" s="303" t="s">
        <v>365</v>
      </c>
      <c r="O19" s="303" t="s">
        <v>267</v>
      </c>
      <c r="P19" s="303" t="s">
        <v>366</v>
      </c>
      <c r="Q19" s="313">
        <f t="shared" si="0"/>
        <v>0.7</v>
      </c>
      <c r="R19" s="303" t="s">
        <v>267</v>
      </c>
      <c r="S19" s="303" t="s">
        <v>267</v>
      </c>
      <c r="T19" s="303" t="s">
        <v>267</v>
      </c>
      <c r="U19" s="303" t="s">
        <v>267</v>
      </c>
      <c r="V19" s="303" t="s">
        <v>267</v>
      </c>
      <c r="W19" s="303" t="s">
        <v>267</v>
      </c>
      <c r="X19" s="304" t="s">
        <v>267</v>
      </c>
      <c r="Y19" s="303" t="s">
        <v>366</v>
      </c>
      <c r="Z19" s="176" t="s">
        <v>268</v>
      </c>
      <c r="AA19" s="303" t="s">
        <v>365</v>
      </c>
      <c r="AB19" s="303" t="s">
        <v>366</v>
      </c>
      <c r="AC19" s="313">
        <f t="shared" si="1"/>
        <v>0.83333333333333337</v>
      </c>
      <c r="AD19" s="303" t="s">
        <v>267</v>
      </c>
      <c r="AE19" s="303" t="s">
        <v>267</v>
      </c>
      <c r="AF19" s="303" t="s">
        <v>365</v>
      </c>
      <c r="AG19" s="303" t="s">
        <v>366</v>
      </c>
      <c r="AH19" s="303" t="s">
        <v>366</v>
      </c>
      <c r="AI19" s="303" t="s">
        <v>366</v>
      </c>
      <c r="AJ19" s="303" t="s">
        <v>366</v>
      </c>
      <c r="AK19" s="303" t="s">
        <v>366</v>
      </c>
      <c r="AL19" s="303" t="s">
        <v>366</v>
      </c>
      <c r="AM19" s="303" t="s">
        <v>366</v>
      </c>
      <c r="AN19" s="303" t="s">
        <v>366</v>
      </c>
      <c r="AO19" s="303" t="s">
        <v>366</v>
      </c>
      <c r="AP19" s="303" t="s">
        <v>366</v>
      </c>
      <c r="AQ19" s="303" t="s">
        <v>366</v>
      </c>
      <c r="AR19" s="303" t="s">
        <v>366</v>
      </c>
      <c r="AS19" s="313">
        <f t="shared" si="2"/>
        <v>0.16666666666666666</v>
      </c>
      <c r="AT19" s="303" t="s">
        <v>366</v>
      </c>
      <c r="AU19" s="303" t="s">
        <v>366</v>
      </c>
      <c r="AV19" s="313">
        <f t="shared" si="3"/>
        <v>0</v>
      </c>
      <c r="AW19" s="329">
        <f t="shared" si="4"/>
        <v>0.42499999999999999</v>
      </c>
    </row>
    <row r="20" spans="3:49" s="302" customFormat="1" ht="18.75" customHeight="1" x14ac:dyDescent="0.3">
      <c r="C20" s="47" t="s">
        <v>10</v>
      </c>
      <c r="D20" s="47" t="s">
        <v>123</v>
      </c>
      <c r="E20" s="47" t="s">
        <v>64</v>
      </c>
      <c r="F20" s="47" t="s">
        <v>100</v>
      </c>
      <c r="G20" s="47" t="s">
        <v>89</v>
      </c>
      <c r="H20" s="47">
        <v>10</v>
      </c>
      <c r="I20" s="51" t="s">
        <v>275</v>
      </c>
      <c r="J20" s="77">
        <v>54534</v>
      </c>
      <c r="K20" s="51" t="s">
        <v>15</v>
      </c>
      <c r="L20" s="303" t="s">
        <v>267</v>
      </c>
      <c r="M20" s="303" t="s">
        <v>366</v>
      </c>
      <c r="N20" s="303" t="s">
        <v>366</v>
      </c>
      <c r="O20" s="303" t="s">
        <v>366</v>
      </c>
      <c r="P20" s="303" t="s">
        <v>366</v>
      </c>
      <c r="Q20" s="313">
        <f t="shared" si="0"/>
        <v>0.2</v>
      </c>
      <c r="R20" s="303" t="s">
        <v>267</v>
      </c>
      <c r="S20" s="303" t="s">
        <v>267</v>
      </c>
      <c r="T20" s="303" t="s">
        <v>267</v>
      </c>
      <c r="U20" s="303" t="s">
        <v>266</v>
      </c>
      <c r="V20" s="303" t="s">
        <v>267</v>
      </c>
      <c r="W20" s="303" t="s">
        <v>267</v>
      </c>
      <c r="X20" s="304" t="s">
        <v>271</v>
      </c>
      <c r="Y20" s="303" t="s">
        <v>366</v>
      </c>
      <c r="Z20" s="176" t="s">
        <v>272</v>
      </c>
      <c r="AA20" s="303" t="s">
        <v>365</v>
      </c>
      <c r="AB20" s="303" t="s">
        <v>366</v>
      </c>
      <c r="AC20" s="313">
        <f t="shared" si="1"/>
        <v>0.72222222222222221</v>
      </c>
      <c r="AD20" s="303" t="s">
        <v>266</v>
      </c>
      <c r="AE20" s="303" t="s">
        <v>266</v>
      </c>
      <c r="AF20" s="303" t="s">
        <v>266</v>
      </c>
      <c r="AG20" s="303" t="s">
        <v>266</v>
      </c>
      <c r="AH20" s="303" t="s">
        <v>366</v>
      </c>
      <c r="AI20" s="303" t="s">
        <v>366</v>
      </c>
      <c r="AJ20" s="303" t="s">
        <v>366</v>
      </c>
      <c r="AK20" s="303" t="s">
        <v>366</v>
      </c>
      <c r="AL20" s="303" t="s">
        <v>366</v>
      </c>
      <c r="AM20" s="303" t="s">
        <v>366</v>
      </c>
      <c r="AN20" s="303" t="s">
        <v>366</v>
      </c>
      <c r="AO20" s="303" t="s">
        <v>366</v>
      </c>
      <c r="AP20" s="303" t="s">
        <v>366</v>
      </c>
      <c r="AQ20" s="303" t="s">
        <v>366</v>
      </c>
      <c r="AR20" s="303" t="s">
        <v>366</v>
      </c>
      <c r="AS20" s="313">
        <f t="shared" si="2"/>
        <v>0.26666666666666666</v>
      </c>
      <c r="AT20" s="303" t="s">
        <v>366</v>
      </c>
      <c r="AU20" s="303" t="s">
        <v>366</v>
      </c>
      <c r="AV20" s="313">
        <f t="shared" si="3"/>
        <v>0</v>
      </c>
      <c r="AW20" s="329">
        <f t="shared" si="4"/>
        <v>0.29722222222222222</v>
      </c>
    </row>
    <row r="21" spans="3:49" s="302" customFormat="1" ht="18.75" customHeight="1" x14ac:dyDescent="0.3">
      <c r="C21" s="47" t="s">
        <v>10</v>
      </c>
      <c r="D21" s="47" t="s">
        <v>280</v>
      </c>
      <c r="E21" s="47" t="s">
        <v>281</v>
      </c>
      <c r="F21" s="47" t="s">
        <v>100</v>
      </c>
      <c r="G21" s="47" t="s">
        <v>89</v>
      </c>
      <c r="H21" s="47">
        <v>10</v>
      </c>
      <c r="I21" s="51" t="s">
        <v>265</v>
      </c>
      <c r="J21" s="77">
        <v>102743</v>
      </c>
      <c r="K21" s="51" t="s">
        <v>15</v>
      </c>
      <c r="L21" s="303" t="s">
        <v>267</v>
      </c>
      <c r="M21" s="303" t="s">
        <v>366</v>
      </c>
      <c r="N21" s="303" t="s">
        <v>366</v>
      </c>
      <c r="O21" s="303" t="s">
        <v>366</v>
      </c>
      <c r="P21" s="303" t="s">
        <v>366</v>
      </c>
      <c r="Q21" s="313">
        <f t="shared" si="0"/>
        <v>0.2</v>
      </c>
      <c r="R21" s="303" t="s">
        <v>267</v>
      </c>
      <c r="S21" s="303" t="s">
        <v>267</v>
      </c>
      <c r="T21" s="303" t="s">
        <v>267</v>
      </c>
      <c r="U21" s="303" t="s">
        <v>266</v>
      </c>
      <c r="V21" s="303" t="s">
        <v>267</v>
      </c>
      <c r="W21" s="303" t="s">
        <v>267</v>
      </c>
      <c r="X21" s="304" t="s">
        <v>267</v>
      </c>
      <c r="Y21" s="303" t="s">
        <v>366</v>
      </c>
      <c r="Z21" s="176" t="s">
        <v>272</v>
      </c>
      <c r="AA21" s="303" t="s">
        <v>365</v>
      </c>
      <c r="AB21" s="303" t="s">
        <v>366</v>
      </c>
      <c r="AC21" s="313">
        <f t="shared" si="1"/>
        <v>0.83333333333333337</v>
      </c>
      <c r="AD21" s="303" t="s">
        <v>266</v>
      </c>
      <c r="AE21" s="303" t="s">
        <v>266</v>
      </c>
      <c r="AF21" s="303" t="s">
        <v>266</v>
      </c>
      <c r="AG21" s="303" t="s">
        <v>266</v>
      </c>
      <c r="AH21" s="303" t="s">
        <v>366</v>
      </c>
      <c r="AI21" s="303" t="s">
        <v>366</v>
      </c>
      <c r="AJ21" s="303" t="s">
        <v>366</v>
      </c>
      <c r="AK21" s="303" t="s">
        <v>366</v>
      </c>
      <c r="AL21" s="303" t="s">
        <v>366</v>
      </c>
      <c r="AM21" s="303" t="s">
        <v>366</v>
      </c>
      <c r="AN21" s="303" t="s">
        <v>366</v>
      </c>
      <c r="AO21" s="303" t="s">
        <v>366</v>
      </c>
      <c r="AP21" s="303" t="s">
        <v>366</v>
      </c>
      <c r="AQ21" s="303" t="s">
        <v>366</v>
      </c>
      <c r="AR21" s="303" t="s">
        <v>366</v>
      </c>
      <c r="AS21" s="313">
        <f t="shared" si="2"/>
        <v>0.26666666666666666</v>
      </c>
      <c r="AT21" s="303" t="s">
        <v>366</v>
      </c>
      <c r="AU21" s="303" t="s">
        <v>366</v>
      </c>
      <c r="AV21" s="313">
        <f t="shared" si="3"/>
        <v>0</v>
      </c>
      <c r="AW21" s="329">
        <f t="shared" si="4"/>
        <v>0.32500000000000001</v>
      </c>
    </row>
    <row r="22" spans="3:49" s="302" customFormat="1" ht="18.75" customHeight="1" x14ac:dyDescent="0.3">
      <c r="C22" s="47" t="s">
        <v>10</v>
      </c>
      <c r="D22" s="47" t="s">
        <v>278</v>
      </c>
      <c r="E22" s="47" t="s">
        <v>283</v>
      </c>
      <c r="F22" s="47" t="s">
        <v>100</v>
      </c>
      <c r="G22" s="47" t="s">
        <v>89</v>
      </c>
      <c r="H22" s="47">
        <v>10</v>
      </c>
      <c r="I22" s="51" t="s">
        <v>275</v>
      </c>
      <c r="J22" s="77">
        <v>10561</v>
      </c>
      <c r="K22" s="51" t="s">
        <v>15</v>
      </c>
      <c r="L22" s="303" t="s">
        <v>267</v>
      </c>
      <c r="M22" s="303" t="s">
        <v>366</v>
      </c>
      <c r="N22" s="303" t="s">
        <v>366</v>
      </c>
      <c r="O22" s="303" t="s">
        <v>366</v>
      </c>
      <c r="P22" s="303" t="s">
        <v>366</v>
      </c>
      <c r="Q22" s="313">
        <f t="shared" si="0"/>
        <v>0.2</v>
      </c>
      <c r="R22" s="303" t="s">
        <v>267</v>
      </c>
      <c r="S22" s="303" t="s">
        <v>267</v>
      </c>
      <c r="T22" s="303" t="s">
        <v>267</v>
      </c>
      <c r="U22" s="303" t="s">
        <v>266</v>
      </c>
      <c r="V22" s="303" t="s">
        <v>267</v>
      </c>
      <c r="W22" s="303" t="s">
        <v>267</v>
      </c>
      <c r="X22" s="304" t="s">
        <v>271</v>
      </c>
      <c r="Y22" s="303" t="s">
        <v>366</v>
      </c>
      <c r="Z22" s="176" t="s">
        <v>272</v>
      </c>
      <c r="AA22" s="303" t="s">
        <v>365</v>
      </c>
      <c r="AB22" s="303" t="s">
        <v>366</v>
      </c>
      <c r="AC22" s="313">
        <f t="shared" si="1"/>
        <v>0.72222222222222221</v>
      </c>
      <c r="AD22" s="303" t="s">
        <v>266</v>
      </c>
      <c r="AE22" s="303" t="s">
        <v>266</v>
      </c>
      <c r="AF22" s="303" t="s">
        <v>266</v>
      </c>
      <c r="AG22" s="303" t="s">
        <v>266</v>
      </c>
      <c r="AH22" s="303" t="s">
        <v>366</v>
      </c>
      <c r="AI22" s="303" t="s">
        <v>366</v>
      </c>
      <c r="AJ22" s="303" t="s">
        <v>366</v>
      </c>
      <c r="AK22" s="303" t="s">
        <v>366</v>
      </c>
      <c r="AL22" s="303" t="s">
        <v>366</v>
      </c>
      <c r="AM22" s="303" t="s">
        <v>366</v>
      </c>
      <c r="AN22" s="303" t="s">
        <v>366</v>
      </c>
      <c r="AO22" s="303" t="s">
        <v>366</v>
      </c>
      <c r="AP22" s="303" t="s">
        <v>366</v>
      </c>
      <c r="AQ22" s="303" t="s">
        <v>366</v>
      </c>
      <c r="AR22" s="303" t="s">
        <v>366</v>
      </c>
      <c r="AS22" s="313">
        <f t="shared" si="2"/>
        <v>0.26666666666666666</v>
      </c>
      <c r="AT22" s="303" t="s">
        <v>366</v>
      </c>
      <c r="AU22" s="303" t="s">
        <v>366</v>
      </c>
      <c r="AV22" s="313">
        <f t="shared" si="3"/>
        <v>0</v>
      </c>
      <c r="AW22" s="329">
        <f t="shared" si="4"/>
        <v>0.29722222222222222</v>
      </c>
    </row>
    <row r="23" spans="3:49" s="302" customFormat="1" ht="18.75" customHeight="1" x14ac:dyDescent="0.3">
      <c r="C23" s="47" t="s">
        <v>10</v>
      </c>
      <c r="D23" s="47" t="s">
        <v>278</v>
      </c>
      <c r="E23" s="47" t="s">
        <v>283</v>
      </c>
      <c r="F23" s="47" t="s">
        <v>100</v>
      </c>
      <c r="G23" s="47" t="s">
        <v>89</v>
      </c>
      <c r="H23" s="47">
        <v>10</v>
      </c>
      <c r="I23" s="48" t="s">
        <v>265</v>
      </c>
      <c r="J23" s="77">
        <v>102473</v>
      </c>
      <c r="K23" s="51" t="s">
        <v>15</v>
      </c>
      <c r="L23" s="303" t="s">
        <v>267</v>
      </c>
      <c r="M23" s="303" t="s">
        <v>366</v>
      </c>
      <c r="N23" s="303" t="s">
        <v>366</v>
      </c>
      <c r="O23" s="303" t="s">
        <v>366</v>
      </c>
      <c r="P23" s="303" t="s">
        <v>366</v>
      </c>
      <c r="Q23" s="313">
        <f t="shared" si="0"/>
        <v>0.2</v>
      </c>
      <c r="R23" s="303" t="s">
        <v>267</v>
      </c>
      <c r="S23" s="303" t="s">
        <v>267</v>
      </c>
      <c r="T23" s="303" t="s">
        <v>267</v>
      </c>
      <c r="U23" s="303" t="s">
        <v>266</v>
      </c>
      <c r="V23" s="303" t="s">
        <v>267</v>
      </c>
      <c r="W23" s="303" t="s">
        <v>267</v>
      </c>
      <c r="X23" s="304" t="s">
        <v>271</v>
      </c>
      <c r="Y23" s="303" t="s">
        <v>366</v>
      </c>
      <c r="Z23" s="176" t="s">
        <v>268</v>
      </c>
      <c r="AA23" s="303" t="s">
        <v>267</v>
      </c>
      <c r="AB23" s="303" t="s">
        <v>366</v>
      </c>
      <c r="AC23" s="313">
        <f t="shared" si="1"/>
        <v>0.77777777777777779</v>
      </c>
      <c r="AD23" s="303" t="s">
        <v>266</v>
      </c>
      <c r="AE23" s="303" t="s">
        <v>266</v>
      </c>
      <c r="AF23" s="303" t="s">
        <v>266</v>
      </c>
      <c r="AG23" s="303" t="s">
        <v>266</v>
      </c>
      <c r="AH23" s="303" t="s">
        <v>366</v>
      </c>
      <c r="AI23" s="303" t="s">
        <v>366</v>
      </c>
      <c r="AJ23" s="303" t="s">
        <v>366</v>
      </c>
      <c r="AK23" s="303" t="s">
        <v>366</v>
      </c>
      <c r="AL23" s="303" t="s">
        <v>366</v>
      </c>
      <c r="AM23" s="303" t="s">
        <v>366</v>
      </c>
      <c r="AN23" s="303" t="s">
        <v>366</v>
      </c>
      <c r="AO23" s="303" t="s">
        <v>366</v>
      </c>
      <c r="AP23" s="303" t="s">
        <v>366</v>
      </c>
      <c r="AQ23" s="303" t="s">
        <v>366</v>
      </c>
      <c r="AR23" s="303" t="s">
        <v>366</v>
      </c>
      <c r="AS23" s="313">
        <f t="shared" si="2"/>
        <v>0.26666666666666666</v>
      </c>
      <c r="AT23" s="303" t="s">
        <v>366</v>
      </c>
      <c r="AU23" s="303" t="s">
        <v>366</v>
      </c>
      <c r="AV23" s="313">
        <f t="shared" si="3"/>
        <v>0</v>
      </c>
      <c r="AW23" s="329">
        <f t="shared" si="4"/>
        <v>0.31111111111111112</v>
      </c>
    </row>
    <row r="24" spans="3:49" s="302" customFormat="1" ht="18.75" customHeight="1" x14ac:dyDescent="0.3">
      <c r="C24" s="47" t="s">
        <v>10</v>
      </c>
      <c r="D24" s="47" t="s">
        <v>278</v>
      </c>
      <c r="E24" s="47" t="s">
        <v>283</v>
      </c>
      <c r="F24" s="47" t="s">
        <v>88</v>
      </c>
      <c r="G24" s="47" t="s">
        <v>89</v>
      </c>
      <c r="H24" s="47">
        <v>10</v>
      </c>
      <c r="I24" s="48" t="s">
        <v>262</v>
      </c>
      <c r="J24" s="77">
        <v>101389</v>
      </c>
      <c r="K24" s="49" t="s">
        <v>16</v>
      </c>
      <c r="L24" s="303" t="s">
        <v>267</v>
      </c>
      <c r="M24" s="303" t="s">
        <v>366</v>
      </c>
      <c r="N24" s="303" t="s">
        <v>366</v>
      </c>
      <c r="O24" s="303" t="s">
        <v>366</v>
      </c>
      <c r="P24" s="303" t="s">
        <v>366</v>
      </c>
      <c r="Q24" s="313">
        <f t="shared" si="0"/>
        <v>0.2</v>
      </c>
      <c r="R24" s="303" t="s">
        <v>267</v>
      </c>
      <c r="S24" s="303" t="s">
        <v>267</v>
      </c>
      <c r="T24" s="303" t="s">
        <v>267</v>
      </c>
      <c r="U24" s="303" t="s">
        <v>267</v>
      </c>
      <c r="V24" s="303" t="s">
        <v>267</v>
      </c>
      <c r="W24" s="303" t="s">
        <v>267</v>
      </c>
      <c r="X24" s="304" t="s">
        <v>271</v>
      </c>
      <c r="Y24" s="303" t="s">
        <v>366</v>
      </c>
      <c r="Z24" s="176" t="s">
        <v>268</v>
      </c>
      <c r="AA24" s="303" t="s">
        <v>365</v>
      </c>
      <c r="AB24" s="303" t="s">
        <v>366</v>
      </c>
      <c r="AC24" s="313">
        <f t="shared" si="1"/>
        <v>0.72222222222222221</v>
      </c>
      <c r="AD24" s="303" t="s">
        <v>366</v>
      </c>
      <c r="AE24" s="303" t="s">
        <v>366</v>
      </c>
      <c r="AF24" s="303" t="s">
        <v>366</v>
      </c>
      <c r="AG24" s="303" t="s">
        <v>366</v>
      </c>
      <c r="AH24" s="303" t="s">
        <v>366</v>
      </c>
      <c r="AI24" s="303" t="s">
        <v>366</v>
      </c>
      <c r="AJ24" s="303" t="s">
        <v>366</v>
      </c>
      <c r="AK24" s="303" t="s">
        <v>366</v>
      </c>
      <c r="AL24" s="303" t="s">
        <v>366</v>
      </c>
      <c r="AM24" s="303" t="s">
        <v>366</v>
      </c>
      <c r="AN24" s="303" t="s">
        <v>366</v>
      </c>
      <c r="AO24" s="303" t="s">
        <v>366</v>
      </c>
      <c r="AP24" s="303" t="s">
        <v>366</v>
      </c>
      <c r="AQ24" s="303" t="s">
        <v>366</v>
      </c>
      <c r="AR24" s="303" t="s">
        <v>366</v>
      </c>
      <c r="AS24" s="313">
        <f t="shared" si="2"/>
        <v>0</v>
      </c>
      <c r="AT24" s="303" t="s">
        <v>366</v>
      </c>
      <c r="AU24" s="303" t="s">
        <v>366</v>
      </c>
      <c r="AV24" s="313">
        <f t="shared" si="3"/>
        <v>0</v>
      </c>
      <c r="AW24" s="329">
        <f t="shared" si="4"/>
        <v>0.23055555555555557</v>
      </c>
    </row>
    <row r="25" spans="3:49" s="302" customFormat="1" ht="18.75" customHeight="1" x14ac:dyDescent="0.3">
      <c r="C25" s="47" t="s">
        <v>10</v>
      </c>
      <c r="D25" s="47" t="s">
        <v>284</v>
      </c>
      <c r="E25" s="47" t="s">
        <v>285</v>
      </c>
      <c r="F25" s="47" t="s">
        <v>6</v>
      </c>
      <c r="G25" s="47" t="s">
        <v>89</v>
      </c>
      <c r="H25" s="47">
        <v>10</v>
      </c>
      <c r="I25" s="306" t="s">
        <v>275</v>
      </c>
      <c r="J25" s="77">
        <v>4078</v>
      </c>
      <c r="K25" s="51" t="s">
        <v>15</v>
      </c>
      <c r="L25" s="303" t="s">
        <v>267</v>
      </c>
      <c r="M25" s="303" t="s">
        <v>366</v>
      </c>
      <c r="N25" s="303" t="s">
        <v>266</v>
      </c>
      <c r="O25" s="303" t="s">
        <v>366</v>
      </c>
      <c r="P25" s="303" t="s">
        <v>366</v>
      </c>
      <c r="Q25" s="313">
        <f t="shared" si="0"/>
        <v>0.4</v>
      </c>
      <c r="R25" s="303" t="s">
        <v>267</v>
      </c>
      <c r="S25" s="303" t="s">
        <v>267</v>
      </c>
      <c r="T25" s="303" t="s">
        <v>267</v>
      </c>
      <c r="U25" s="303" t="s">
        <v>267</v>
      </c>
      <c r="V25" s="303" t="s">
        <v>267</v>
      </c>
      <c r="W25" s="303" t="s">
        <v>267</v>
      </c>
      <c r="X25" s="304" t="s">
        <v>271</v>
      </c>
      <c r="Y25" s="303" t="s">
        <v>366</v>
      </c>
      <c r="Z25" s="176" t="s">
        <v>272</v>
      </c>
      <c r="AA25" s="303" t="s">
        <v>365</v>
      </c>
      <c r="AB25" s="303" t="s">
        <v>366</v>
      </c>
      <c r="AC25" s="313">
        <f t="shared" si="1"/>
        <v>0.72222222222222221</v>
      </c>
      <c r="AD25" s="303" t="s">
        <v>366</v>
      </c>
      <c r="AE25" s="303" t="s">
        <v>366</v>
      </c>
      <c r="AF25" s="303" t="s">
        <v>366</v>
      </c>
      <c r="AG25" s="303" t="s">
        <v>366</v>
      </c>
      <c r="AH25" s="303" t="s">
        <v>366</v>
      </c>
      <c r="AI25" s="303" t="s">
        <v>366</v>
      </c>
      <c r="AJ25" s="303" t="s">
        <v>366</v>
      </c>
      <c r="AK25" s="303" t="s">
        <v>366</v>
      </c>
      <c r="AL25" s="312" t="s">
        <v>266</v>
      </c>
      <c r="AM25" s="303" t="s">
        <v>266</v>
      </c>
      <c r="AN25" s="303" t="s">
        <v>266</v>
      </c>
      <c r="AO25" s="303" t="s">
        <v>266</v>
      </c>
      <c r="AP25" s="303" t="s">
        <v>266</v>
      </c>
      <c r="AQ25" s="303" t="s">
        <v>266</v>
      </c>
      <c r="AR25" s="303" t="s">
        <v>266</v>
      </c>
      <c r="AS25" s="313">
        <f t="shared" si="2"/>
        <v>0.46666666666666667</v>
      </c>
      <c r="AT25" s="303" t="s">
        <v>366</v>
      </c>
      <c r="AU25" s="303" t="s">
        <v>366</v>
      </c>
      <c r="AV25" s="313">
        <f t="shared" si="3"/>
        <v>0</v>
      </c>
      <c r="AW25" s="329">
        <f t="shared" si="4"/>
        <v>0.39722222222222225</v>
      </c>
    </row>
    <row r="26" spans="3:49" s="302" customFormat="1" ht="18.75" customHeight="1" x14ac:dyDescent="0.3">
      <c r="C26" s="47" t="s">
        <v>10</v>
      </c>
      <c r="D26" s="47" t="s">
        <v>280</v>
      </c>
      <c r="E26" s="47" t="s">
        <v>286</v>
      </c>
      <c r="F26" s="47" t="s">
        <v>100</v>
      </c>
      <c r="G26" s="47" t="s">
        <v>89</v>
      </c>
      <c r="H26" s="47">
        <v>10</v>
      </c>
      <c r="I26" s="48" t="s">
        <v>275</v>
      </c>
      <c r="J26" s="77">
        <v>53835</v>
      </c>
      <c r="K26" s="51" t="s">
        <v>15</v>
      </c>
      <c r="L26" s="303" t="s">
        <v>267</v>
      </c>
      <c r="M26" s="303" t="s">
        <v>366</v>
      </c>
      <c r="N26" s="303" t="s">
        <v>366</v>
      </c>
      <c r="O26" s="303" t="s">
        <v>366</v>
      </c>
      <c r="P26" s="303" t="s">
        <v>366</v>
      </c>
      <c r="Q26" s="313">
        <f t="shared" si="0"/>
        <v>0.2</v>
      </c>
      <c r="R26" s="303" t="s">
        <v>267</v>
      </c>
      <c r="S26" s="303" t="s">
        <v>267</v>
      </c>
      <c r="T26" s="303" t="s">
        <v>267</v>
      </c>
      <c r="U26" s="303" t="s">
        <v>266</v>
      </c>
      <c r="V26" s="303" t="s">
        <v>267</v>
      </c>
      <c r="W26" s="303" t="s">
        <v>267</v>
      </c>
      <c r="X26" s="304" t="s">
        <v>271</v>
      </c>
      <c r="Y26" s="303" t="s">
        <v>366</v>
      </c>
      <c r="Z26" s="176" t="s">
        <v>272</v>
      </c>
      <c r="AA26" s="303" t="s">
        <v>365</v>
      </c>
      <c r="AB26" s="303" t="s">
        <v>366</v>
      </c>
      <c r="AC26" s="313">
        <f t="shared" si="1"/>
        <v>0.72222222222222221</v>
      </c>
      <c r="AD26" s="303" t="s">
        <v>266</v>
      </c>
      <c r="AE26" s="303" t="s">
        <v>266</v>
      </c>
      <c r="AF26" s="303" t="s">
        <v>266</v>
      </c>
      <c r="AG26" s="303" t="s">
        <v>266</v>
      </c>
      <c r="AH26" s="303" t="s">
        <v>366</v>
      </c>
      <c r="AI26" s="303" t="s">
        <v>366</v>
      </c>
      <c r="AJ26" s="303" t="s">
        <v>366</v>
      </c>
      <c r="AK26" s="303" t="s">
        <v>366</v>
      </c>
      <c r="AL26" s="303" t="s">
        <v>366</v>
      </c>
      <c r="AM26" s="303" t="s">
        <v>366</v>
      </c>
      <c r="AN26" s="303" t="s">
        <v>366</v>
      </c>
      <c r="AO26" s="303" t="s">
        <v>366</v>
      </c>
      <c r="AP26" s="303" t="s">
        <v>366</v>
      </c>
      <c r="AQ26" s="303" t="s">
        <v>366</v>
      </c>
      <c r="AR26" s="303" t="s">
        <v>366</v>
      </c>
      <c r="AS26" s="313">
        <f t="shared" si="2"/>
        <v>0.26666666666666666</v>
      </c>
      <c r="AT26" s="303" t="s">
        <v>366</v>
      </c>
      <c r="AU26" s="303" t="s">
        <v>366</v>
      </c>
      <c r="AV26" s="313">
        <f t="shared" si="3"/>
        <v>0</v>
      </c>
      <c r="AW26" s="329">
        <f t="shared" si="4"/>
        <v>0.29722222222222222</v>
      </c>
    </row>
    <row r="27" spans="3:49" s="302" customFormat="1" ht="18.75" customHeight="1" x14ac:dyDescent="0.3">
      <c r="C27" s="47" t="s">
        <v>7</v>
      </c>
      <c r="D27" s="47" t="s">
        <v>287</v>
      </c>
      <c r="E27" s="47" t="s">
        <v>288</v>
      </c>
      <c r="F27" s="47" t="s">
        <v>6</v>
      </c>
      <c r="G27" s="47" t="s">
        <v>89</v>
      </c>
      <c r="H27" s="47">
        <v>10</v>
      </c>
      <c r="I27" s="306" t="s">
        <v>265</v>
      </c>
      <c r="J27" s="77">
        <v>105309</v>
      </c>
      <c r="K27" s="51" t="s">
        <v>15</v>
      </c>
      <c r="L27" s="303" t="s">
        <v>267</v>
      </c>
      <c r="M27" s="303" t="s">
        <v>366</v>
      </c>
      <c r="N27" s="303" t="s">
        <v>366</v>
      </c>
      <c r="O27" s="303" t="s">
        <v>366</v>
      </c>
      <c r="P27" s="303" t="s">
        <v>366</v>
      </c>
      <c r="Q27" s="313">
        <f t="shared" si="0"/>
        <v>0.2</v>
      </c>
      <c r="R27" s="303" t="s">
        <v>267</v>
      </c>
      <c r="S27" s="303" t="s">
        <v>267</v>
      </c>
      <c r="T27" s="303" t="s">
        <v>267</v>
      </c>
      <c r="U27" s="303" t="s">
        <v>267</v>
      </c>
      <c r="V27" s="303" t="s">
        <v>267</v>
      </c>
      <c r="W27" s="303" t="s">
        <v>267</v>
      </c>
      <c r="X27" s="304" t="s">
        <v>271</v>
      </c>
      <c r="Y27" s="303" t="s">
        <v>366</v>
      </c>
      <c r="Z27" s="176" t="s">
        <v>272</v>
      </c>
      <c r="AA27" s="303" t="s">
        <v>365</v>
      </c>
      <c r="AB27" s="303" t="s">
        <v>366</v>
      </c>
      <c r="AC27" s="313">
        <f t="shared" si="1"/>
        <v>0.72222222222222221</v>
      </c>
      <c r="AD27" s="303" t="s">
        <v>366</v>
      </c>
      <c r="AE27" s="303" t="s">
        <v>366</v>
      </c>
      <c r="AF27" s="303" t="s">
        <v>366</v>
      </c>
      <c r="AG27" s="303" t="s">
        <v>366</v>
      </c>
      <c r="AH27" s="303" t="s">
        <v>366</v>
      </c>
      <c r="AI27" s="303" t="s">
        <v>366</v>
      </c>
      <c r="AJ27" s="303" t="s">
        <v>366</v>
      </c>
      <c r="AK27" s="303" t="s">
        <v>366</v>
      </c>
      <c r="AL27" s="303" t="s">
        <v>366</v>
      </c>
      <c r="AM27" s="303" t="s">
        <v>366</v>
      </c>
      <c r="AN27" s="303" t="s">
        <v>366</v>
      </c>
      <c r="AO27" s="303" t="s">
        <v>366</v>
      </c>
      <c r="AP27" s="303" t="s">
        <v>366</v>
      </c>
      <c r="AQ27" s="303" t="s">
        <v>366</v>
      </c>
      <c r="AR27" s="303" t="s">
        <v>366</v>
      </c>
      <c r="AS27" s="313">
        <f t="shared" si="2"/>
        <v>0</v>
      </c>
      <c r="AT27" s="303" t="s">
        <v>366</v>
      </c>
      <c r="AU27" s="303" t="s">
        <v>366</v>
      </c>
      <c r="AV27" s="313">
        <f t="shared" si="3"/>
        <v>0</v>
      </c>
      <c r="AW27" s="329">
        <f t="shared" si="4"/>
        <v>0.23055555555555557</v>
      </c>
    </row>
    <row r="28" spans="3:49" s="302" customFormat="1" ht="18.75" customHeight="1" x14ac:dyDescent="0.3">
      <c r="C28" s="47" t="s">
        <v>7</v>
      </c>
      <c r="D28" s="47" t="s">
        <v>289</v>
      </c>
      <c r="E28" s="47" t="s">
        <v>290</v>
      </c>
      <c r="F28" s="47" t="s">
        <v>100</v>
      </c>
      <c r="G28" s="47" t="s">
        <v>89</v>
      </c>
      <c r="H28" s="47">
        <v>10</v>
      </c>
      <c r="I28" s="306" t="s">
        <v>275</v>
      </c>
      <c r="J28" s="77">
        <v>7470</v>
      </c>
      <c r="K28" s="51" t="s">
        <v>15</v>
      </c>
      <c r="L28" s="303" t="s">
        <v>267</v>
      </c>
      <c r="M28" s="303" t="s">
        <v>366</v>
      </c>
      <c r="N28" s="303" t="s">
        <v>366</v>
      </c>
      <c r="O28" s="303" t="s">
        <v>366</v>
      </c>
      <c r="P28" s="303" t="s">
        <v>366</v>
      </c>
      <c r="Q28" s="313">
        <f t="shared" si="0"/>
        <v>0.2</v>
      </c>
      <c r="R28" s="303" t="s">
        <v>267</v>
      </c>
      <c r="S28" s="303" t="s">
        <v>267</v>
      </c>
      <c r="T28" s="303" t="s">
        <v>267</v>
      </c>
      <c r="U28" s="303" t="s">
        <v>266</v>
      </c>
      <c r="V28" s="303" t="s">
        <v>267</v>
      </c>
      <c r="W28" s="303" t="s">
        <v>366</v>
      </c>
      <c r="X28" s="303" t="s">
        <v>366</v>
      </c>
      <c r="Y28" s="303" t="s">
        <v>366</v>
      </c>
      <c r="Z28" s="176" t="s">
        <v>272</v>
      </c>
      <c r="AA28" s="303" t="s">
        <v>365</v>
      </c>
      <c r="AB28" s="303" t="s">
        <v>366</v>
      </c>
      <c r="AC28" s="313">
        <f t="shared" si="1"/>
        <v>0.61111111111111116</v>
      </c>
      <c r="AD28" s="303" t="s">
        <v>266</v>
      </c>
      <c r="AE28" s="303" t="s">
        <v>266</v>
      </c>
      <c r="AF28" s="303" t="s">
        <v>266</v>
      </c>
      <c r="AG28" s="303" t="s">
        <v>266</v>
      </c>
      <c r="AH28" s="303" t="s">
        <v>366</v>
      </c>
      <c r="AI28" s="303" t="s">
        <v>366</v>
      </c>
      <c r="AJ28" s="303" t="s">
        <v>366</v>
      </c>
      <c r="AK28" s="303" t="s">
        <v>366</v>
      </c>
      <c r="AL28" s="303" t="s">
        <v>366</v>
      </c>
      <c r="AM28" s="303" t="s">
        <v>366</v>
      </c>
      <c r="AN28" s="303" t="s">
        <v>366</v>
      </c>
      <c r="AO28" s="303" t="s">
        <v>366</v>
      </c>
      <c r="AP28" s="303" t="s">
        <v>366</v>
      </c>
      <c r="AQ28" s="303" t="s">
        <v>366</v>
      </c>
      <c r="AR28" s="303" t="s">
        <v>366</v>
      </c>
      <c r="AS28" s="313">
        <f t="shared" si="2"/>
        <v>0.26666666666666666</v>
      </c>
      <c r="AT28" s="303" t="s">
        <v>366</v>
      </c>
      <c r="AU28" s="303" t="s">
        <v>366</v>
      </c>
      <c r="AV28" s="313">
        <f t="shared" si="3"/>
        <v>0</v>
      </c>
      <c r="AW28" s="329">
        <f t="shared" si="4"/>
        <v>0.26944444444444443</v>
      </c>
    </row>
    <row r="29" spans="3:49" s="302" customFormat="1" ht="18.75" customHeight="1" x14ac:dyDescent="0.3">
      <c r="C29" s="47" t="s">
        <v>7</v>
      </c>
      <c r="D29" s="47" t="s">
        <v>289</v>
      </c>
      <c r="E29" s="47" t="s">
        <v>290</v>
      </c>
      <c r="F29" s="47" t="s">
        <v>88</v>
      </c>
      <c r="G29" s="47" t="s">
        <v>89</v>
      </c>
      <c r="H29" s="47">
        <v>10</v>
      </c>
      <c r="I29" s="306" t="s">
        <v>262</v>
      </c>
      <c r="J29" s="77">
        <v>101492</v>
      </c>
      <c r="K29" s="51" t="s">
        <v>14</v>
      </c>
      <c r="L29" s="303" t="s">
        <v>267</v>
      </c>
      <c r="M29" s="303" t="s">
        <v>267</v>
      </c>
      <c r="N29" s="303" t="s">
        <v>267</v>
      </c>
      <c r="O29" s="303" t="s">
        <v>267</v>
      </c>
      <c r="P29" s="303" t="s">
        <v>366</v>
      </c>
      <c r="Q29" s="313">
        <f t="shared" si="0"/>
        <v>0.8</v>
      </c>
      <c r="R29" s="303" t="s">
        <v>267</v>
      </c>
      <c r="S29" s="303" t="s">
        <v>267</v>
      </c>
      <c r="T29" s="303" t="s">
        <v>267</v>
      </c>
      <c r="U29" s="303" t="s">
        <v>267</v>
      </c>
      <c r="V29" s="303" t="s">
        <v>267</v>
      </c>
      <c r="W29" s="303" t="s">
        <v>267</v>
      </c>
      <c r="X29" s="304" t="s">
        <v>271</v>
      </c>
      <c r="Y29" s="303" t="s">
        <v>366</v>
      </c>
      <c r="Z29" s="176" t="s">
        <v>268</v>
      </c>
      <c r="AA29" s="303" t="s">
        <v>267</v>
      </c>
      <c r="AB29" s="303" t="s">
        <v>366</v>
      </c>
      <c r="AC29" s="313">
        <f t="shared" si="1"/>
        <v>0.77777777777777779</v>
      </c>
      <c r="AD29" s="303" t="s">
        <v>267</v>
      </c>
      <c r="AE29" s="303" t="s">
        <v>267</v>
      </c>
      <c r="AF29" s="303" t="s">
        <v>365</v>
      </c>
      <c r="AG29" s="303" t="s">
        <v>366</v>
      </c>
      <c r="AH29" s="303" t="s">
        <v>366</v>
      </c>
      <c r="AI29" s="303" t="s">
        <v>267</v>
      </c>
      <c r="AJ29" s="303" t="s">
        <v>267</v>
      </c>
      <c r="AK29" s="303" t="s">
        <v>365</v>
      </c>
      <c r="AL29" s="303" t="s">
        <v>267</v>
      </c>
      <c r="AM29" s="305" t="s">
        <v>267</v>
      </c>
      <c r="AN29" s="305" t="s">
        <v>267</v>
      </c>
      <c r="AO29" s="305" t="s">
        <v>267</v>
      </c>
      <c r="AP29" s="305" t="s">
        <v>267</v>
      </c>
      <c r="AQ29" s="303" t="s">
        <v>365</v>
      </c>
      <c r="AR29" s="303" t="s">
        <v>366</v>
      </c>
      <c r="AS29" s="313">
        <f t="shared" si="2"/>
        <v>0.7</v>
      </c>
      <c r="AT29" s="303" t="s">
        <v>366</v>
      </c>
      <c r="AU29" s="303" t="s">
        <v>366</v>
      </c>
      <c r="AV29" s="313">
        <f t="shared" si="3"/>
        <v>0</v>
      </c>
      <c r="AW29" s="329">
        <f t="shared" si="4"/>
        <v>0.56944444444444442</v>
      </c>
    </row>
    <row r="30" spans="3:49" s="302" customFormat="1" ht="18.75" customHeight="1" x14ac:dyDescent="0.3">
      <c r="C30" s="47" t="s">
        <v>10</v>
      </c>
      <c r="D30" s="47" t="s">
        <v>280</v>
      </c>
      <c r="E30" s="47" t="s">
        <v>124</v>
      </c>
      <c r="F30" s="47" t="s">
        <v>88</v>
      </c>
      <c r="G30" s="47" t="s">
        <v>89</v>
      </c>
      <c r="H30" s="47">
        <v>10</v>
      </c>
      <c r="I30" s="307" t="s">
        <v>262</v>
      </c>
      <c r="J30" s="77">
        <v>105591</v>
      </c>
      <c r="K30" s="51" t="s">
        <v>15</v>
      </c>
      <c r="L30" s="303" t="s">
        <v>267</v>
      </c>
      <c r="M30" s="303" t="s">
        <v>267</v>
      </c>
      <c r="N30" s="303" t="s">
        <v>365</v>
      </c>
      <c r="O30" s="303" t="s">
        <v>267</v>
      </c>
      <c r="P30" s="303" t="s">
        <v>366</v>
      </c>
      <c r="Q30" s="313">
        <f t="shared" si="0"/>
        <v>0.7</v>
      </c>
      <c r="R30" s="303" t="s">
        <v>267</v>
      </c>
      <c r="S30" s="303" t="s">
        <v>267</v>
      </c>
      <c r="T30" s="303" t="s">
        <v>267</v>
      </c>
      <c r="U30" s="303" t="s">
        <v>267</v>
      </c>
      <c r="V30" s="303" t="s">
        <v>267</v>
      </c>
      <c r="W30" s="303" t="s">
        <v>267</v>
      </c>
      <c r="X30" s="304" t="s">
        <v>267</v>
      </c>
      <c r="Y30" s="303" t="s">
        <v>366</v>
      </c>
      <c r="Z30" s="176" t="s">
        <v>272</v>
      </c>
      <c r="AA30" s="303" t="s">
        <v>365</v>
      </c>
      <c r="AB30" s="303" t="s">
        <v>366</v>
      </c>
      <c r="AC30" s="313">
        <f t="shared" si="1"/>
        <v>0.83333333333333337</v>
      </c>
      <c r="AD30" s="303" t="s">
        <v>267</v>
      </c>
      <c r="AE30" s="303" t="s">
        <v>267</v>
      </c>
      <c r="AF30" s="303" t="s">
        <v>365</v>
      </c>
      <c r="AG30" s="303" t="s">
        <v>366</v>
      </c>
      <c r="AH30" s="303" t="s">
        <v>366</v>
      </c>
      <c r="AI30" s="303" t="s">
        <v>365</v>
      </c>
      <c r="AJ30" s="305" t="s">
        <v>366</v>
      </c>
      <c r="AK30" s="303" t="s">
        <v>365</v>
      </c>
      <c r="AL30" s="303" t="s">
        <v>366</v>
      </c>
      <c r="AM30" s="303" t="s">
        <v>366</v>
      </c>
      <c r="AN30" s="303" t="s">
        <v>366</v>
      </c>
      <c r="AO30" s="303" t="s">
        <v>366</v>
      </c>
      <c r="AP30" s="303" t="s">
        <v>366</v>
      </c>
      <c r="AQ30" s="303" t="s">
        <v>366</v>
      </c>
      <c r="AR30" s="303" t="s">
        <v>366</v>
      </c>
      <c r="AS30" s="313">
        <f t="shared" si="2"/>
        <v>0.23333333333333334</v>
      </c>
      <c r="AT30" s="303" t="s">
        <v>366</v>
      </c>
      <c r="AU30" s="303" t="s">
        <v>366</v>
      </c>
      <c r="AV30" s="313">
        <f t="shared" si="3"/>
        <v>0</v>
      </c>
      <c r="AW30" s="329">
        <f t="shared" si="4"/>
        <v>0.44166666666666665</v>
      </c>
    </row>
    <row r="31" spans="3:49" s="302" customFormat="1" ht="18.75" customHeight="1" x14ac:dyDescent="0.3">
      <c r="C31" s="47" t="s">
        <v>4</v>
      </c>
      <c r="D31" s="47" t="s">
        <v>263</v>
      </c>
      <c r="E31" s="47" t="s">
        <v>292</v>
      </c>
      <c r="F31" s="47" t="s">
        <v>100</v>
      </c>
      <c r="G31" s="47" t="s">
        <v>89</v>
      </c>
      <c r="H31" s="47">
        <v>10</v>
      </c>
      <c r="I31" s="306" t="s">
        <v>275</v>
      </c>
      <c r="J31" s="77">
        <v>3638</v>
      </c>
      <c r="K31" s="51" t="s">
        <v>15</v>
      </c>
      <c r="L31" s="303" t="s">
        <v>267</v>
      </c>
      <c r="M31" s="303" t="s">
        <v>366</v>
      </c>
      <c r="N31" s="303" t="s">
        <v>366</v>
      </c>
      <c r="O31" s="303" t="s">
        <v>366</v>
      </c>
      <c r="P31" s="303" t="s">
        <v>366</v>
      </c>
      <c r="Q31" s="313">
        <f t="shared" si="0"/>
        <v>0.2</v>
      </c>
      <c r="R31" s="303" t="s">
        <v>267</v>
      </c>
      <c r="S31" s="303" t="s">
        <v>267</v>
      </c>
      <c r="T31" s="303" t="s">
        <v>267</v>
      </c>
      <c r="U31" s="303" t="s">
        <v>266</v>
      </c>
      <c r="V31" s="303" t="s">
        <v>267</v>
      </c>
      <c r="W31" s="303" t="s">
        <v>267</v>
      </c>
      <c r="X31" s="304" t="s">
        <v>267</v>
      </c>
      <c r="Y31" s="303" t="s">
        <v>366</v>
      </c>
      <c r="Z31" s="176" t="s">
        <v>272</v>
      </c>
      <c r="AA31" s="303" t="s">
        <v>365</v>
      </c>
      <c r="AB31" s="303" t="s">
        <v>366</v>
      </c>
      <c r="AC31" s="313">
        <f t="shared" si="1"/>
        <v>0.83333333333333337</v>
      </c>
      <c r="AD31" s="303" t="s">
        <v>266</v>
      </c>
      <c r="AE31" s="303" t="s">
        <v>266</v>
      </c>
      <c r="AF31" s="303" t="s">
        <v>266</v>
      </c>
      <c r="AG31" s="303" t="s">
        <v>266</v>
      </c>
      <c r="AH31" s="303" t="s">
        <v>366</v>
      </c>
      <c r="AI31" s="303" t="s">
        <v>366</v>
      </c>
      <c r="AJ31" s="305" t="s">
        <v>366</v>
      </c>
      <c r="AK31" s="303" t="s">
        <v>366</v>
      </c>
      <c r="AL31" s="303" t="s">
        <v>366</v>
      </c>
      <c r="AM31" s="303" t="s">
        <v>366</v>
      </c>
      <c r="AN31" s="303" t="s">
        <v>366</v>
      </c>
      <c r="AO31" s="303" t="s">
        <v>366</v>
      </c>
      <c r="AP31" s="303" t="s">
        <v>366</v>
      </c>
      <c r="AQ31" s="303" t="s">
        <v>366</v>
      </c>
      <c r="AR31" s="303" t="s">
        <v>366</v>
      </c>
      <c r="AS31" s="313">
        <f t="shared" si="2"/>
        <v>0.26666666666666666</v>
      </c>
      <c r="AT31" s="303" t="s">
        <v>366</v>
      </c>
      <c r="AU31" s="303" t="s">
        <v>366</v>
      </c>
      <c r="AV31" s="313">
        <f t="shared" si="3"/>
        <v>0</v>
      </c>
      <c r="AW31" s="329">
        <f t="shared" si="4"/>
        <v>0.32500000000000001</v>
      </c>
    </row>
    <row r="32" spans="3:49" s="302" customFormat="1" ht="18.75" customHeight="1" x14ac:dyDescent="0.3">
      <c r="C32" s="47" t="s">
        <v>4</v>
      </c>
      <c r="D32" s="47" t="s">
        <v>293</v>
      </c>
      <c r="E32" s="47" t="s">
        <v>294</v>
      </c>
      <c r="F32" s="47" t="s">
        <v>88</v>
      </c>
      <c r="G32" s="47" t="s">
        <v>89</v>
      </c>
      <c r="H32" s="47">
        <v>10</v>
      </c>
      <c r="I32" s="51" t="s">
        <v>262</v>
      </c>
      <c r="J32" s="77">
        <v>111399</v>
      </c>
      <c r="K32" s="51" t="s">
        <v>14</v>
      </c>
      <c r="L32" s="303" t="s">
        <v>267</v>
      </c>
      <c r="M32" s="303" t="s">
        <v>267</v>
      </c>
      <c r="N32" s="303" t="s">
        <v>267</v>
      </c>
      <c r="O32" s="303" t="s">
        <v>267</v>
      </c>
      <c r="P32" s="303" t="s">
        <v>366</v>
      </c>
      <c r="Q32" s="313">
        <f t="shared" si="0"/>
        <v>0.8</v>
      </c>
      <c r="R32" s="303" t="s">
        <v>267</v>
      </c>
      <c r="S32" s="303" t="s">
        <v>267</v>
      </c>
      <c r="T32" s="303" t="s">
        <v>267</v>
      </c>
      <c r="U32" s="303" t="s">
        <v>267</v>
      </c>
      <c r="V32" s="303" t="s">
        <v>267</v>
      </c>
      <c r="W32" s="303" t="s">
        <v>267</v>
      </c>
      <c r="X32" s="304" t="s">
        <v>271</v>
      </c>
      <c r="Y32" s="303" t="s">
        <v>366</v>
      </c>
      <c r="Z32" s="176" t="s">
        <v>272</v>
      </c>
      <c r="AA32" s="303" t="s">
        <v>365</v>
      </c>
      <c r="AB32" s="303" t="s">
        <v>366</v>
      </c>
      <c r="AC32" s="313">
        <f t="shared" si="1"/>
        <v>0.72222222222222221</v>
      </c>
      <c r="AD32" s="303" t="s">
        <v>267</v>
      </c>
      <c r="AE32" s="303" t="s">
        <v>267</v>
      </c>
      <c r="AF32" s="303" t="s">
        <v>365</v>
      </c>
      <c r="AG32" s="303" t="s">
        <v>365</v>
      </c>
      <c r="AH32" s="303" t="s">
        <v>366</v>
      </c>
      <c r="AI32" s="303" t="s">
        <v>267</v>
      </c>
      <c r="AJ32" s="303" t="s">
        <v>267</v>
      </c>
      <c r="AK32" s="303" t="s">
        <v>365</v>
      </c>
      <c r="AL32" s="303" t="s">
        <v>267</v>
      </c>
      <c r="AM32" s="305" t="s">
        <v>267</v>
      </c>
      <c r="AN32" s="305" t="s">
        <v>267</v>
      </c>
      <c r="AO32" s="305" t="s">
        <v>267</v>
      </c>
      <c r="AP32" s="305" t="s">
        <v>267</v>
      </c>
      <c r="AQ32" s="303" t="s">
        <v>365</v>
      </c>
      <c r="AR32" s="303" t="s">
        <v>366</v>
      </c>
      <c r="AS32" s="313">
        <f t="shared" si="2"/>
        <v>0.73333333333333328</v>
      </c>
      <c r="AT32" s="303" t="s">
        <v>366</v>
      </c>
      <c r="AU32" s="303" t="s">
        <v>366</v>
      </c>
      <c r="AV32" s="313">
        <f t="shared" si="3"/>
        <v>0</v>
      </c>
      <c r="AW32" s="329">
        <f t="shared" si="4"/>
        <v>0.56388888888888888</v>
      </c>
    </row>
    <row r="33" spans="3:49" s="302" customFormat="1" ht="18.75" customHeight="1" x14ac:dyDescent="0.3">
      <c r="C33" s="47" t="s">
        <v>4</v>
      </c>
      <c r="D33" s="47" t="s">
        <v>293</v>
      </c>
      <c r="E33" s="47" t="s">
        <v>295</v>
      </c>
      <c r="F33" s="47" t="s">
        <v>88</v>
      </c>
      <c r="G33" s="47" t="s">
        <v>89</v>
      </c>
      <c r="H33" s="47">
        <v>10</v>
      </c>
      <c r="I33" s="51" t="s">
        <v>262</v>
      </c>
      <c r="J33" s="77">
        <v>111178</v>
      </c>
      <c r="K33" s="51" t="s">
        <v>14</v>
      </c>
      <c r="L33" s="303" t="s">
        <v>267</v>
      </c>
      <c r="M33" s="303" t="s">
        <v>267</v>
      </c>
      <c r="N33" s="303" t="s">
        <v>267</v>
      </c>
      <c r="O33" s="303" t="s">
        <v>267</v>
      </c>
      <c r="P33" s="303" t="s">
        <v>366</v>
      </c>
      <c r="Q33" s="313">
        <f t="shared" si="0"/>
        <v>0.8</v>
      </c>
      <c r="R33" s="303" t="s">
        <v>267</v>
      </c>
      <c r="S33" s="303" t="s">
        <v>267</v>
      </c>
      <c r="T33" s="303" t="s">
        <v>267</v>
      </c>
      <c r="U33" s="303" t="s">
        <v>267</v>
      </c>
      <c r="V33" s="303" t="s">
        <v>267</v>
      </c>
      <c r="W33" s="303" t="s">
        <v>267</v>
      </c>
      <c r="X33" s="304" t="s">
        <v>271</v>
      </c>
      <c r="Y33" s="303" t="s">
        <v>366</v>
      </c>
      <c r="Z33" s="176" t="s">
        <v>272</v>
      </c>
      <c r="AA33" s="303" t="s">
        <v>365</v>
      </c>
      <c r="AB33" s="303" t="s">
        <v>366</v>
      </c>
      <c r="AC33" s="313">
        <f t="shared" si="1"/>
        <v>0.72222222222222221</v>
      </c>
      <c r="AD33" s="303" t="s">
        <v>267</v>
      </c>
      <c r="AE33" s="303" t="s">
        <v>267</v>
      </c>
      <c r="AF33" s="303" t="s">
        <v>365</v>
      </c>
      <c r="AG33" s="303" t="s">
        <v>365</v>
      </c>
      <c r="AH33" s="303" t="s">
        <v>366</v>
      </c>
      <c r="AI33" s="303" t="s">
        <v>267</v>
      </c>
      <c r="AJ33" s="303" t="s">
        <v>267</v>
      </c>
      <c r="AK33" s="303" t="s">
        <v>365</v>
      </c>
      <c r="AL33" s="303" t="s">
        <v>267</v>
      </c>
      <c r="AM33" s="305" t="s">
        <v>267</v>
      </c>
      <c r="AN33" s="305" t="s">
        <v>267</v>
      </c>
      <c r="AO33" s="305" t="s">
        <v>267</v>
      </c>
      <c r="AP33" s="305" t="s">
        <v>267</v>
      </c>
      <c r="AQ33" s="303" t="s">
        <v>365</v>
      </c>
      <c r="AR33" s="303" t="s">
        <v>366</v>
      </c>
      <c r="AS33" s="313">
        <f t="shared" si="2"/>
        <v>0.73333333333333328</v>
      </c>
      <c r="AT33" s="303" t="s">
        <v>366</v>
      </c>
      <c r="AU33" s="303" t="s">
        <v>366</v>
      </c>
      <c r="AV33" s="313">
        <f t="shared" si="3"/>
        <v>0</v>
      </c>
      <c r="AW33" s="329">
        <f t="shared" si="4"/>
        <v>0.56388888888888888</v>
      </c>
    </row>
    <row r="34" spans="3:49" s="302" customFormat="1" ht="18.75" customHeight="1" x14ac:dyDescent="0.3">
      <c r="C34" s="47" t="s">
        <v>4</v>
      </c>
      <c r="D34" s="47" t="s">
        <v>260</v>
      </c>
      <c r="E34" s="47" t="s">
        <v>56</v>
      </c>
      <c r="F34" s="47" t="s">
        <v>100</v>
      </c>
      <c r="G34" s="47" t="s">
        <v>89</v>
      </c>
      <c r="H34" s="47">
        <v>10</v>
      </c>
      <c r="I34" s="51" t="s">
        <v>275</v>
      </c>
      <c r="J34" s="77">
        <v>1892</v>
      </c>
      <c r="K34" s="51" t="s">
        <v>15</v>
      </c>
      <c r="L34" s="303" t="s">
        <v>267</v>
      </c>
      <c r="M34" s="303" t="s">
        <v>366</v>
      </c>
      <c r="N34" s="303" t="s">
        <v>366</v>
      </c>
      <c r="O34" s="303" t="s">
        <v>366</v>
      </c>
      <c r="P34" s="303" t="s">
        <v>366</v>
      </c>
      <c r="Q34" s="313">
        <f t="shared" si="0"/>
        <v>0.2</v>
      </c>
      <c r="R34" s="303" t="s">
        <v>267</v>
      </c>
      <c r="S34" s="303" t="s">
        <v>267</v>
      </c>
      <c r="T34" s="303" t="s">
        <v>267</v>
      </c>
      <c r="U34" s="303" t="s">
        <v>266</v>
      </c>
      <c r="V34" s="303" t="s">
        <v>267</v>
      </c>
      <c r="W34" s="303" t="s">
        <v>267</v>
      </c>
      <c r="X34" s="304" t="s">
        <v>271</v>
      </c>
      <c r="Y34" s="303" t="s">
        <v>366</v>
      </c>
      <c r="Z34" s="176" t="s">
        <v>272</v>
      </c>
      <c r="AA34" s="303" t="s">
        <v>365</v>
      </c>
      <c r="AB34" s="303" t="s">
        <v>366</v>
      </c>
      <c r="AC34" s="313">
        <f t="shared" si="1"/>
        <v>0.72222222222222221</v>
      </c>
      <c r="AD34" s="303" t="s">
        <v>266</v>
      </c>
      <c r="AE34" s="303" t="s">
        <v>266</v>
      </c>
      <c r="AF34" s="303" t="s">
        <v>266</v>
      </c>
      <c r="AG34" s="303" t="s">
        <v>266</v>
      </c>
      <c r="AH34" s="303" t="s">
        <v>366</v>
      </c>
      <c r="AI34" s="303" t="s">
        <v>366</v>
      </c>
      <c r="AJ34" s="305" t="s">
        <v>366</v>
      </c>
      <c r="AK34" s="303" t="s">
        <v>366</v>
      </c>
      <c r="AL34" s="303" t="s">
        <v>366</v>
      </c>
      <c r="AM34" s="303" t="s">
        <v>366</v>
      </c>
      <c r="AN34" s="303" t="s">
        <v>366</v>
      </c>
      <c r="AO34" s="303" t="s">
        <v>366</v>
      </c>
      <c r="AP34" s="303" t="s">
        <v>366</v>
      </c>
      <c r="AQ34" s="303" t="s">
        <v>366</v>
      </c>
      <c r="AR34" s="303" t="s">
        <v>366</v>
      </c>
      <c r="AS34" s="313">
        <f t="shared" si="2"/>
        <v>0.26666666666666666</v>
      </c>
      <c r="AT34" s="303" t="s">
        <v>366</v>
      </c>
      <c r="AU34" s="303" t="s">
        <v>366</v>
      </c>
      <c r="AV34" s="313">
        <f t="shared" si="3"/>
        <v>0</v>
      </c>
      <c r="AW34" s="329">
        <f t="shared" si="4"/>
        <v>0.29722222222222222</v>
      </c>
    </row>
    <row r="35" spans="3:49" s="302" customFormat="1" ht="18.75" customHeight="1" x14ac:dyDescent="0.3">
      <c r="C35" s="47" t="s">
        <v>10</v>
      </c>
      <c r="D35" s="47" t="s">
        <v>280</v>
      </c>
      <c r="E35" s="47" t="s">
        <v>297</v>
      </c>
      <c r="F35" s="47" t="s">
        <v>100</v>
      </c>
      <c r="G35" s="47" t="s">
        <v>101</v>
      </c>
      <c r="H35" s="47">
        <v>10</v>
      </c>
      <c r="I35" s="48" t="s">
        <v>275</v>
      </c>
      <c r="J35" s="77">
        <v>107647</v>
      </c>
      <c r="K35" s="51" t="s">
        <v>15</v>
      </c>
      <c r="L35" s="303" t="s">
        <v>267</v>
      </c>
      <c r="M35" s="303" t="s">
        <v>366</v>
      </c>
      <c r="N35" s="303" t="s">
        <v>266</v>
      </c>
      <c r="O35" s="303" t="s">
        <v>366</v>
      </c>
      <c r="P35" s="303" t="s">
        <v>366</v>
      </c>
      <c r="Q35" s="313">
        <f t="shared" si="0"/>
        <v>0.4</v>
      </c>
      <c r="R35" s="303" t="s">
        <v>267</v>
      </c>
      <c r="S35" s="303" t="s">
        <v>267</v>
      </c>
      <c r="T35" s="303" t="s">
        <v>267</v>
      </c>
      <c r="U35" s="303" t="s">
        <v>266</v>
      </c>
      <c r="V35" s="303" t="s">
        <v>267</v>
      </c>
      <c r="W35" s="303" t="s">
        <v>267</v>
      </c>
      <c r="X35" s="304" t="s">
        <v>267</v>
      </c>
      <c r="Y35" s="303" t="s">
        <v>366</v>
      </c>
      <c r="Z35" s="176" t="s">
        <v>272</v>
      </c>
      <c r="AA35" s="303" t="s">
        <v>365</v>
      </c>
      <c r="AB35" s="303" t="s">
        <v>366</v>
      </c>
      <c r="AC35" s="313">
        <f t="shared" si="1"/>
        <v>0.83333333333333337</v>
      </c>
      <c r="AD35" s="303" t="s">
        <v>266</v>
      </c>
      <c r="AE35" s="303" t="s">
        <v>266</v>
      </c>
      <c r="AF35" s="303" t="s">
        <v>266</v>
      </c>
      <c r="AG35" s="303" t="s">
        <v>266</v>
      </c>
      <c r="AH35" s="303" t="s">
        <v>366</v>
      </c>
      <c r="AI35" s="303" t="s">
        <v>366</v>
      </c>
      <c r="AJ35" s="305" t="s">
        <v>366</v>
      </c>
      <c r="AK35" s="303" t="s">
        <v>366</v>
      </c>
      <c r="AL35" s="312" t="s">
        <v>266</v>
      </c>
      <c r="AM35" s="303" t="s">
        <v>266</v>
      </c>
      <c r="AN35" s="303" t="s">
        <v>266</v>
      </c>
      <c r="AO35" s="303" t="s">
        <v>266</v>
      </c>
      <c r="AP35" s="303" t="s">
        <v>266</v>
      </c>
      <c r="AQ35" s="303" t="s">
        <v>266</v>
      </c>
      <c r="AR35" s="303" t="s">
        <v>266</v>
      </c>
      <c r="AS35" s="313">
        <f t="shared" si="2"/>
        <v>0.73333333333333328</v>
      </c>
      <c r="AT35" s="303" t="s">
        <v>366</v>
      </c>
      <c r="AU35" s="303" t="s">
        <v>366</v>
      </c>
      <c r="AV35" s="313">
        <f t="shared" si="3"/>
        <v>0</v>
      </c>
      <c r="AW35" s="329">
        <f t="shared" si="4"/>
        <v>0.4916666666666667</v>
      </c>
    </row>
    <row r="36" spans="3:49" s="302" customFormat="1" ht="18.75" customHeight="1" x14ac:dyDescent="0.3">
      <c r="C36" s="47" t="s">
        <v>10</v>
      </c>
      <c r="D36" s="47" t="s">
        <v>280</v>
      </c>
      <c r="E36" s="47" t="s">
        <v>281</v>
      </c>
      <c r="F36" s="47" t="s">
        <v>100</v>
      </c>
      <c r="G36" s="47" t="s">
        <v>89</v>
      </c>
      <c r="H36" s="47">
        <v>10</v>
      </c>
      <c r="I36" s="48" t="s">
        <v>275</v>
      </c>
      <c r="J36" s="77">
        <v>1895</v>
      </c>
      <c r="K36" s="51" t="s">
        <v>15</v>
      </c>
      <c r="L36" s="303" t="s">
        <v>267</v>
      </c>
      <c r="M36" s="303" t="s">
        <v>366</v>
      </c>
      <c r="N36" s="303" t="s">
        <v>366</v>
      </c>
      <c r="O36" s="303" t="s">
        <v>366</v>
      </c>
      <c r="P36" s="303" t="s">
        <v>366</v>
      </c>
      <c r="Q36" s="313">
        <f t="shared" si="0"/>
        <v>0.2</v>
      </c>
      <c r="R36" s="303" t="s">
        <v>267</v>
      </c>
      <c r="S36" s="303" t="s">
        <v>267</v>
      </c>
      <c r="T36" s="303" t="s">
        <v>267</v>
      </c>
      <c r="U36" s="303" t="s">
        <v>266</v>
      </c>
      <c r="V36" s="303" t="s">
        <v>267</v>
      </c>
      <c r="W36" s="303" t="s">
        <v>267</v>
      </c>
      <c r="X36" s="304" t="s">
        <v>267</v>
      </c>
      <c r="Y36" s="303" t="s">
        <v>366</v>
      </c>
      <c r="Z36" s="176" t="s">
        <v>272</v>
      </c>
      <c r="AA36" s="303" t="s">
        <v>365</v>
      </c>
      <c r="AB36" s="303" t="s">
        <v>366</v>
      </c>
      <c r="AC36" s="313">
        <f t="shared" si="1"/>
        <v>0.83333333333333337</v>
      </c>
      <c r="AD36" s="303" t="s">
        <v>266</v>
      </c>
      <c r="AE36" s="303" t="s">
        <v>266</v>
      </c>
      <c r="AF36" s="303" t="s">
        <v>266</v>
      </c>
      <c r="AG36" s="303" t="s">
        <v>266</v>
      </c>
      <c r="AH36" s="303" t="s">
        <v>366</v>
      </c>
      <c r="AI36" s="303" t="s">
        <v>366</v>
      </c>
      <c r="AJ36" s="305" t="s">
        <v>366</v>
      </c>
      <c r="AK36" s="303" t="s">
        <v>366</v>
      </c>
      <c r="AL36" s="303" t="s">
        <v>366</v>
      </c>
      <c r="AM36" s="303" t="s">
        <v>366</v>
      </c>
      <c r="AN36" s="303" t="s">
        <v>366</v>
      </c>
      <c r="AO36" s="303" t="s">
        <v>366</v>
      </c>
      <c r="AP36" s="303" t="s">
        <v>366</v>
      </c>
      <c r="AQ36" s="303" t="s">
        <v>366</v>
      </c>
      <c r="AR36" s="303" t="s">
        <v>366</v>
      </c>
      <c r="AS36" s="313">
        <f t="shared" si="2"/>
        <v>0.26666666666666666</v>
      </c>
      <c r="AT36" s="303" t="s">
        <v>366</v>
      </c>
      <c r="AU36" s="303" t="s">
        <v>366</v>
      </c>
      <c r="AV36" s="313">
        <f t="shared" si="3"/>
        <v>0</v>
      </c>
      <c r="AW36" s="329">
        <f t="shared" si="4"/>
        <v>0.32500000000000001</v>
      </c>
    </row>
    <row r="37" spans="3:49" s="302" customFormat="1" ht="18.75" customHeight="1" x14ac:dyDescent="0.3">
      <c r="C37" s="47" t="s">
        <v>7</v>
      </c>
      <c r="D37" s="47" t="s">
        <v>298</v>
      </c>
      <c r="E37" s="47" t="s">
        <v>299</v>
      </c>
      <c r="F37" s="47" t="s">
        <v>88</v>
      </c>
      <c r="G37" s="47" t="s">
        <v>101</v>
      </c>
      <c r="H37" s="47">
        <v>10</v>
      </c>
      <c r="I37" s="306" t="s">
        <v>262</v>
      </c>
      <c r="J37" s="77">
        <v>103090</v>
      </c>
      <c r="K37" s="51" t="s">
        <v>15</v>
      </c>
      <c r="L37" s="303" t="s">
        <v>267</v>
      </c>
      <c r="M37" s="312" t="s">
        <v>365</v>
      </c>
      <c r="N37" s="303" t="s">
        <v>266</v>
      </c>
      <c r="O37" s="303" t="s">
        <v>366</v>
      </c>
      <c r="P37" s="303" t="s">
        <v>366</v>
      </c>
      <c r="Q37" s="313">
        <f t="shared" si="0"/>
        <v>0.5</v>
      </c>
      <c r="R37" s="303" t="s">
        <v>267</v>
      </c>
      <c r="S37" s="303" t="s">
        <v>267</v>
      </c>
      <c r="T37" s="303" t="s">
        <v>267</v>
      </c>
      <c r="U37" s="303" t="s">
        <v>267</v>
      </c>
      <c r="V37" s="303" t="s">
        <v>267</v>
      </c>
      <c r="W37" s="303" t="s">
        <v>267</v>
      </c>
      <c r="X37" s="304" t="s">
        <v>267</v>
      </c>
      <c r="Y37" s="303" t="s">
        <v>366</v>
      </c>
      <c r="Z37" s="176" t="s">
        <v>272</v>
      </c>
      <c r="AA37" s="303" t="s">
        <v>365</v>
      </c>
      <c r="AB37" s="303" t="s">
        <v>366</v>
      </c>
      <c r="AC37" s="313">
        <f t="shared" si="1"/>
        <v>0.83333333333333337</v>
      </c>
      <c r="AD37" s="304" t="s">
        <v>271</v>
      </c>
      <c r="AE37" s="303" t="s">
        <v>365</v>
      </c>
      <c r="AF37" s="303" t="s">
        <v>366</v>
      </c>
      <c r="AG37" s="303" t="s">
        <v>366</v>
      </c>
      <c r="AH37" s="303" t="s">
        <v>366</v>
      </c>
      <c r="AI37" s="303" t="s">
        <v>366</v>
      </c>
      <c r="AJ37" s="305" t="s">
        <v>366</v>
      </c>
      <c r="AK37" s="303" t="s">
        <v>366</v>
      </c>
      <c r="AL37" s="312" t="s">
        <v>266</v>
      </c>
      <c r="AM37" s="303" t="s">
        <v>266</v>
      </c>
      <c r="AN37" s="303" t="s">
        <v>266</v>
      </c>
      <c r="AO37" s="303" t="s">
        <v>266</v>
      </c>
      <c r="AP37" s="303" t="s">
        <v>266</v>
      </c>
      <c r="AQ37" s="303" t="s">
        <v>266</v>
      </c>
      <c r="AR37" s="303" t="s">
        <v>266</v>
      </c>
      <c r="AS37" s="313">
        <f t="shared" si="2"/>
        <v>0.5</v>
      </c>
      <c r="AT37" s="303" t="s">
        <v>366</v>
      </c>
      <c r="AU37" s="303" t="s">
        <v>366</v>
      </c>
      <c r="AV37" s="313">
        <f t="shared" si="3"/>
        <v>0</v>
      </c>
      <c r="AW37" s="329">
        <f t="shared" si="4"/>
        <v>0.45833333333333337</v>
      </c>
    </row>
    <row r="38" spans="3:49" s="302" customFormat="1" ht="18.75" customHeight="1" x14ac:dyDescent="0.3">
      <c r="C38" s="47" t="s">
        <v>7</v>
      </c>
      <c r="D38" s="47" t="s">
        <v>298</v>
      </c>
      <c r="E38" s="47" t="s">
        <v>301</v>
      </c>
      <c r="F38" s="47" t="s">
        <v>6</v>
      </c>
      <c r="G38" s="47" t="s">
        <v>89</v>
      </c>
      <c r="H38" s="47">
        <v>10</v>
      </c>
      <c r="I38" s="306" t="s">
        <v>265</v>
      </c>
      <c r="J38" s="77">
        <v>102847</v>
      </c>
      <c r="K38" s="64" t="s">
        <v>15</v>
      </c>
      <c r="L38" s="303" t="s">
        <v>267</v>
      </c>
      <c r="M38" s="303" t="s">
        <v>366</v>
      </c>
      <c r="N38" s="303" t="s">
        <v>366</v>
      </c>
      <c r="O38" s="303" t="s">
        <v>366</v>
      </c>
      <c r="P38" s="303" t="s">
        <v>366</v>
      </c>
      <c r="Q38" s="313">
        <f t="shared" si="0"/>
        <v>0.2</v>
      </c>
      <c r="R38" s="303" t="s">
        <v>267</v>
      </c>
      <c r="S38" s="303" t="s">
        <v>267</v>
      </c>
      <c r="T38" s="303" t="s">
        <v>267</v>
      </c>
      <c r="U38" s="303" t="s">
        <v>267</v>
      </c>
      <c r="V38" s="303" t="s">
        <v>267</v>
      </c>
      <c r="W38" s="303" t="s">
        <v>267</v>
      </c>
      <c r="X38" s="304" t="s">
        <v>271</v>
      </c>
      <c r="Y38" s="303" t="s">
        <v>366</v>
      </c>
      <c r="Z38" s="176" t="s">
        <v>272</v>
      </c>
      <c r="AA38" s="303" t="s">
        <v>365</v>
      </c>
      <c r="AB38" s="303" t="s">
        <v>366</v>
      </c>
      <c r="AC38" s="313">
        <f t="shared" si="1"/>
        <v>0.72222222222222221</v>
      </c>
      <c r="AD38" s="303" t="s">
        <v>366</v>
      </c>
      <c r="AE38" s="303" t="s">
        <v>366</v>
      </c>
      <c r="AF38" s="303" t="s">
        <v>366</v>
      </c>
      <c r="AG38" s="303" t="s">
        <v>366</v>
      </c>
      <c r="AH38" s="303" t="s">
        <v>366</v>
      </c>
      <c r="AI38" s="303" t="s">
        <v>366</v>
      </c>
      <c r="AJ38" s="305" t="s">
        <v>366</v>
      </c>
      <c r="AK38" s="303" t="s">
        <v>366</v>
      </c>
      <c r="AL38" s="303" t="s">
        <v>366</v>
      </c>
      <c r="AM38" s="303" t="s">
        <v>366</v>
      </c>
      <c r="AN38" s="303" t="s">
        <v>366</v>
      </c>
      <c r="AO38" s="303" t="s">
        <v>366</v>
      </c>
      <c r="AP38" s="303" t="s">
        <v>366</v>
      </c>
      <c r="AQ38" s="303" t="s">
        <v>366</v>
      </c>
      <c r="AR38" s="303" t="s">
        <v>366</v>
      </c>
      <c r="AS38" s="313">
        <f t="shared" si="2"/>
        <v>0</v>
      </c>
      <c r="AT38" s="303" t="s">
        <v>366</v>
      </c>
      <c r="AU38" s="303" t="s">
        <v>366</v>
      </c>
      <c r="AV38" s="313">
        <f t="shared" si="3"/>
        <v>0</v>
      </c>
      <c r="AW38" s="329">
        <f t="shared" si="4"/>
        <v>0.23055555555555557</v>
      </c>
    </row>
    <row r="39" spans="3:49" s="302" customFormat="1" ht="18.75" customHeight="1" x14ac:dyDescent="0.3">
      <c r="C39" s="47" t="s">
        <v>7</v>
      </c>
      <c r="D39" s="47" t="s">
        <v>298</v>
      </c>
      <c r="E39" s="47" t="s">
        <v>301</v>
      </c>
      <c r="F39" s="47" t="s">
        <v>100</v>
      </c>
      <c r="G39" s="47" t="s">
        <v>89</v>
      </c>
      <c r="H39" s="47">
        <v>10</v>
      </c>
      <c r="I39" s="306" t="s">
        <v>275</v>
      </c>
      <c r="J39" s="77">
        <v>101382</v>
      </c>
      <c r="K39" s="64" t="s">
        <v>14</v>
      </c>
      <c r="L39" s="303" t="s">
        <v>267</v>
      </c>
      <c r="M39" s="303" t="s">
        <v>366</v>
      </c>
      <c r="N39" s="303" t="s">
        <v>267</v>
      </c>
      <c r="O39" s="303" t="s">
        <v>366</v>
      </c>
      <c r="P39" s="303" t="s">
        <v>366</v>
      </c>
      <c r="Q39" s="313">
        <f t="shared" si="0"/>
        <v>0.4</v>
      </c>
      <c r="R39" s="303" t="s">
        <v>267</v>
      </c>
      <c r="S39" s="303" t="s">
        <v>267</v>
      </c>
      <c r="T39" s="303" t="s">
        <v>267</v>
      </c>
      <c r="U39" s="303" t="s">
        <v>266</v>
      </c>
      <c r="V39" s="303" t="s">
        <v>267</v>
      </c>
      <c r="W39" s="303" t="s">
        <v>267</v>
      </c>
      <c r="X39" s="304" t="s">
        <v>271</v>
      </c>
      <c r="Y39" s="303" t="s">
        <v>366</v>
      </c>
      <c r="Z39" s="176" t="s">
        <v>272</v>
      </c>
      <c r="AA39" s="303" t="s">
        <v>365</v>
      </c>
      <c r="AB39" s="303" t="s">
        <v>366</v>
      </c>
      <c r="AC39" s="313">
        <f t="shared" si="1"/>
        <v>0.72222222222222221</v>
      </c>
      <c r="AD39" s="303" t="s">
        <v>266</v>
      </c>
      <c r="AE39" s="303" t="s">
        <v>266</v>
      </c>
      <c r="AF39" s="303" t="s">
        <v>266</v>
      </c>
      <c r="AG39" s="303" t="s">
        <v>266</v>
      </c>
      <c r="AH39" s="303" t="s">
        <v>366</v>
      </c>
      <c r="AI39" s="303" t="s">
        <v>267</v>
      </c>
      <c r="AJ39" s="303" t="s">
        <v>267</v>
      </c>
      <c r="AK39" s="303" t="s">
        <v>267</v>
      </c>
      <c r="AL39" s="303" t="s">
        <v>267</v>
      </c>
      <c r="AM39" s="305" t="s">
        <v>267</v>
      </c>
      <c r="AN39" s="305" t="s">
        <v>267</v>
      </c>
      <c r="AO39" s="305" t="s">
        <v>267</v>
      </c>
      <c r="AP39" s="305" t="s">
        <v>267</v>
      </c>
      <c r="AQ39" s="303" t="s">
        <v>365</v>
      </c>
      <c r="AR39" s="303" t="s">
        <v>366</v>
      </c>
      <c r="AS39" s="313">
        <f t="shared" si="2"/>
        <v>0.83333333333333337</v>
      </c>
      <c r="AT39" s="303" t="s">
        <v>267</v>
      </c>
      <c r="AU39" s="303" t="s">
        <v>267</v>
      </c>
      <c r="AV39" s="313">
        <f t="shared" si="3"/>
        <v>1</v>
      </c>
      <c r="AW39" s="329">
        <f t="shared" si="4"/>
        <v>0.73888888888888893</v>
      </c>
    </row>
    <row r="40" spans="3:49" s="302" customFormat="1" ht="18.75" customHeight="1" x14ac:dyDescent="0.3">
      <c r="C40" s="47" t="s">
        <v>7</v>
      </c>
      <c r="D40" s="47" t="s">
        <v>298</v>
      </c>
      <c r="E40" s="47" t="s">
        <v>118</v>
      </c>
      <c r="F40" s="47" t="s">
        <v>88</v>
      </c>
      <c r="G40" s="47" t="s">
        <v>89</v>
      </c>
      <c r="H40" s="47">
        <v>10</v>
      </c>
      <c r="I40" s="306" t="s">
        <v>262</v>
      </c>
      <c r="J40" s="77">
        <v>53140</v>
      </c>
      <c r="K40" s="64" t="s">
        <v>15</v>
      </c>
      <c r="L40" s="303" t="s">
        <v>267</v>
      </c>
      <c r="M40" s="312" t="s">
        <v>365</v>
      </c>
      <c r="N40" s="303" t="s">
        <v>366</v>
      </c>
      <c r="O40" s="303" t="s">
        <v>366</v>
      </c>
      <c r="P40" s="303" t="s">
        <v>366</v>
      </c>
      <c r="Q40" s="313">
        <f t="shared" si="0"/>
        <v>0.3</v>
      </c>
      <c r="R40" s="303" t="s">
        <v>267</v>
      </c>
      <c r="S40" s="303" t="s">
        <v>267</v>
      </c>
      <c r="T40" s="303" t="s">
        <v>267</v>
      </c>
      <c r="U40" s="303" t="s">
        <v>267</v>
      </c>
      <c r="V40" s="303" t="s">
        <v>267</v>
      </c>
      <c r="W40" s="303" t="s">
        <v>267</v>
      </c>
      <c r="X40" s="304" t="s">
        <v>267</v>
      </c>
      <c r="Y40" s="303" t="s">
        <v>366</v>
      </c>
      <c r="Z40" s="176" t="s">
        <v>272</v>
      </c>
      <c r="AA40" s="303" t="s">
        <v>365</v>
      </c>
      <c r="AB40" s="303" t="s">
        <v>366</v>
      </c>
      <c r="AC40" s="313">
        <f t="shared" si="1"/>
        <v>0.83333333333333337</v>
      </c>
      <c r="AD40" s="304" t="s">
        <v>271</v>
      </c>
      <c r="AE40" s="303" t="s">
        <v>365</v>
      </c>
      <c r="AF40" s="303" t="s">
        <v>366</v>
      </c>
      <c r="AG40" s="303" t="s">
        <v>366</v>
      </c>
      <c r="AH40" s="303" t="s">
        <v>366</v>
      </c>
      <c r="AI40" s="303" t="s">
        <v>366</v>
      </c>
      <c r="AJ40" s="305" t="s">
        <v>366</v>
      </c>
      <c r="AK40" s="303" t="s">
        <v>366</v>
      </c>
      <c r="AL40" s="303" t="s">
        <v>366</v>
      </c>
      <c r="AM40" s="303" t="s">
        <v>366</v>
      </c>
      <c r="AN40" s="303" t="s">
        <v>366</v>
      </c>
      <c r="AO40" s="303" t="s">
        <v>366</v>
      </c>
      <c r="AP40" s="303" t="s">
        <v>366</v>
      </c>
      <c r="AQ40" s="303" t="s">
        <v>366</v>
      </c>
      <c r="AR40" s="303" t="s">
        <v>366</v>
      </c>
      <c r="AS40" s="313">
        <f t="shared" si="2"/>
        <v>3.3333333333333333E-2</v>
      </c>
      <c r="AT40" s="303" t="s">
        <v>366</v>
      </c>
      <c r="AU40" s="303" t="s">
        <v>366</v>
      </c>
      <c r="AV40" s="313">
        <f t="shared" si="3"/>
        <v>0</v>
      </c>
      <c r="AW40" s="329">
        <f t="shared" si="4"/>
        <v>0.29166666666666669</v>
      </c>
    </row>
    <row r="41" spans="3:49" s="302" customFormat="1" ht="18.75" customHeight="1" x14ac:dyDescent="0.3">
      <c r="C41" s="47" t="s">
        <v>4</v>
      </c>
      <c r="D41" s="47" t="s">
        <v>303</v>
      </c>
      <c r="E41" s="47" t="s">
        <v>304</v>
      </c>
      <c r="F41" s="47" t="s">
        <v>88</v>
      </c>
      <c r="G41" s="47" t="s">
        <v>89</v>
      </c>
      <c r="H41" s="47">
        <v>10</v>
      </c>
      <c r="I41" s="51" t="s">
        <v>262</v>
      </c>
      <c r="J41" s="77">
        <v>103799</v>
      </c>
      <c r="K41" s="64" t="s">
        <v>14</v>
      </c>
      <c r="L41" s="303" t="s">
        <v>267</v>
      </c>
      <c r="M41" s="303" t="s">
        <v>267</v>
      </c>
      <c r="N41" s="303" t="s">
        <v>365</v>
      </c>
      <c r="O41" s="303" t="s">
        <v>267</v>
      </c>
      <c r="P41" s="303" t="s">
        <v>366</v>
      </c>
      <c r="Q41" s="313">
        <f t="shared" si="0"/>
        <v>0.7</v>
      </c>
      <c r="R41" s="303" t="s">
        <v>267</v>
      </c>
      <c r="S41" s="303" t="s">
        <v>267</v>
      </c>
      <c r="T41" s="303" t="s">
        <v>267</v>
      </c>
      <c r="U41" s="303" t="s">
        <v>267</v>
      </c>
      <c r="V41" s="303" t="s">
        <v>267</v>
      </c>
      <c r="W41" s="303" t="s">
        <v>267</v>
      </c>
      <c r="X41" s="304" t="s">
        <v>271</v>
      </c>
      <c r="Y41" s="303" t="s">
        <v>366</v>
      </c>
      <c r="Z41" s="176" t="s">
        <v>272</v>
      </c>
      <c r="AA41" s="303" t="s">
        <v>365</v>
      </c>
      <c r="AB41" s="303" t="s">
        <v>366</v>
      </c>
      <c r="AC41" s="313">
        <f t="shared" si="1"/>
        <v>0.72222222222222221</v>
      </c>
      <c r="AD41" s="303" t="s">
        <v>267</v>
      </c>
      <c r="AE41" s="303" t="s">
        <v>267</v>
      </c>
      <c r="AF41" s="303" t="s">
        <v>365</v>
      </c>
      <c r="AG41" s="303" t="s">
        <v>366</v>
      </c>
      <c r="AH41" s="303" t="s">
        <v>366</v>
      </c>
      <c r="AI41" s="303" t="s">
        <v>365</v>
      </c>
      <c r="AJ41" s="305" t="s">
        <v>366</v>
      </c>
      <c r="AK41" s="303" t="s">
        <v>365</v>
      </c>
      <c r="AL41" s="303" t="s">
        <v>366</v>
      </c>
      <c r="AM41" s="303" t="s">
        <v>366</v>
      </c>
      <c r="AN41" s="303" t="s">
        <v>366</v>
      </c>
      <c r="AO41" s="303" t="s">
        <v>366</v>
      </c>
      <c r="AP41" s="303" t="s">
        <v>366</v>
      </c>
      <c r="AQ41" s="303" t="s">
        <v>366</v>
      </c>
      <c r="AR41" s="303" t="s">
        <v>366</v>
      </c>
      <c r="AS41" s="313">
        <f t="shared" si="2"/>
        <v>0.23333333333333334</v>
      </c>
      <c r="AT41" s="303" t="s">
        <v>366</v>
      </c>
      <c r="AU41" s="303" t="s">
        <v>366</v>
      </c>
      <c r="AV41" s="313">
        <f t="shared" si="3"/>
        <v>0</v>
      </c>
      <c r="AW41" s="329">
        <f t="shared" si="4"/>
        <v>0.41388888888888886</v>
      </c>
    </row>
    <row r="42" spans="3:49" s="302" customFormat="1" ht="18.75" customHeight="1" x14ac:dyDescent="0.3">
      <c r="C42" s="47" t="s">
        <v>4</v>
      </c>
      <c r="D42" s="47" t="s">
        <v>260</v>
      </c>
      <c r="E42" s="47" t="s">
        <v>305</v>
      </c>
      <c r="F42" s="47" t="s">
        <v>88</v>
      </c>
      <c r="G42" s="47" t="s">
        <v>95</v>
      </c>
      <c r="H42" s="47">
        <v>10</v>
      </c>
      <c r="I42" s="51" t="s">
        <v>262</v>
      </c>
      <c r="J42" s="78">
        <v>91360</v>
      </c>
      <c r="K42" s="64" t="s">
        <v>15</v>
      </c>
      <c r="L42" s="303" t="s">
        <v>267</v>
      </c>
      <c r="M42" s="312" t="s">
        <v>365</v>
      </c>
      <c r="N42" s="303" t="s">
        <v>266</v>
      </c>
      <c r="O42" s="303" t="s">
        <v>366</v>
      </c>
      <c r="P42" s="303" t="s">
        <v>366</v>
      </c>
      <c r="Q42" s="313">
        <f t="shared" si="0"/>
        <v>0.5</v>
      </c>
      <c r="R42" s="303" t="s">
        <v>267</v>
      </c>
      <c r="S42" s="303" t="s">
        <v>267</v>
      </c>
      <c r="T42" s="303" t="s">
        <v>267</v>
      </c>
      <c r="U42" s="303" t="s">
        <v>267</v>
      </c>
      <c r="V42" s="303" t="s">
        <v>267</v>
      </c>
      <c r="W42" s="303" t="s">
        <v>267</v>
      </c>
      <c r="X42" s="304" t="s">
        <v>267</v>
      </c>
      <c r="Y42" s="303" t="s">
        <v>366</v>
      </c>
      <c r="Z42" s="176" t="s">
        <v>272</v>
      </c>
      <c r="AA42" s="303" t="s">
        <v>365</v>
      </c>
      <c r="AB42" s="303" t="s">
        <v>366</v>
      </c>
      <c r="AC42" s="313">
        <f t="shared" si="1"/>
        <v>0.83333333333333337</v>
      </c>
      <c r="AD42" s="304" t="s">
        <v>271</v>
      </c>
      <c r="AE42" s="303" t="s">
        <v>365</v>
      </c>
      <c r="AF42" s="303" t="s">
        <v>366</v>
      </c>
      <c r="AG42" s="303" t="s">
        <v>366</v>
      </c>
      <c r="AH42" s="303" t="s">
        <v>366</v>
      </c>
      <c r="AI42" s="303" t="s">
        <v>366</v>
      </c>
      <c r="AJ42" s="305" t="s">
        <v>366</v>
      </c>
      <c r="AK42" s="303" t="s">
        <v>366</v>
      </c>
      <c r="AL42" s="312" t="s">
        <v>266</v>
      </c>
      <c r="AM42" s="303" t="s">
        <v>266</v>
      </c>
      <c r="AN42" s="303" t="s">
        <v>266</v>
      </c>
      <c r="AO42" s="303" t="s">
        <v>266</v>
      </c>
      <c r="AP42" s="303" t="s">
        <v>266</v>
      </c>
      <c r="AQ42" s="303" t="s">
        <v>266</v>
      </c>
      <c r="AR42" s="303" t="s">
        <v>266</v>
      </c>
      <c r="AS42" s="313">
        <f t="shared" si="2"/>
        <v>0.5</v>
      </c>
      <c r="AT42" s="303" t="s">
        <v>366</v>
      </c>
      <c r="AU42" s="303" t="s">
        <v>366</v>
      </c>
      <c r="AV42" s="313">
        <f t="shared" si="3"/>
        <v>0</v>
      </c>
      <c r="AW42" s="329">
        <f t="shared" si="4"/>
        <v>0.45833333333333337</v>
      </c>
    </row>
    <row r="43" spans="3:49" s="302" customFormat="1" ht="18.75" customHeight="1" x14ac:dyDescent="0.3">
      <c r="C43" s="47" t="s">
        <v>10</v>
      </c>
      <c r="D43" s="47" t="s">
        <v>123</v>
      </c>
      <c r="E43" s="47" t="s">
        <v>306</v>
      </c>
      <c r="F43" s="47" t="s">
        <v>100</v>
      </c>
      <c r="G43" s="47" t="s">
        <v>89</v>
      </c>
      <c r="H43" s="47">
        <v>10</v>
      </c>
      <c r="I43" s="48" t="s">
        <v>275</v>
      </c>
      <c r="J43" s="77">
        <v>54726</v>
      </c>
      <c r="K43" s="64" t="s">
        <v>15</v>
      </c>
      <c r="L43" s="303" t="s">
        <v>267</v>
      </c>
      <c r="M43" s="303" t="s">
        <v>366</v>
      </c>
      <c r="N43" s="303" t="s">
        <v>366</v>
      </c>
      <c r="O43" s="303" t="s">
        <v>366</v>
      </c>
      <c r="P43" s="303" t="s">
        <v>366</v>
      </c>
      <c r="Q43" s="313">
        <f t="shared" si="0"/>
        <v>0.2</v>
      </c>
      <c r="R43" s="303" t="s">
        <v>267</v>
      </c>
      <c r="S43" s="303" t="s">
        <v>267</v>
      </c>
      <c r="T43" s="303" t="s">
        <v>267</v>
      </c>
      <c r="U43" s="303" t="s">
        <v>266</v>
      </c>
      <c r="V43" s="303" t="s">
        <v>267</v>
      </c>
      <c r="W43" s="303" t="s">
        <v>267</v>
      </c>
      <c r="X43" s="304" t="s">
        <v>267</v>
      </c>
      <c r="Y43" s="303" t="s">
        <v>366</v>
      </c>
      <c r="Z43" s="176" t="s">
        <v>272</v>
      </c>
      <c r="AA43" s="303" t="s">
        <v>365</v>
      </c>
      <c r="AB43" s="303" t="s">
        <v>366</v>
      </c>
      <c r="AC43" s="313">
        <f t="shared" si="1"/>
        <v>0.83333333333333337</v>
      </c>
      <c r="AD43" s="303" t="s">
        <v>266</v>
      </c>
      <c r="AE43" s="303" t="s">
        <v>266</v>
      </c>
      <c r="AF43" s="303" t="s">
        <v>266</v>
      </c>
      <c r="AG43" s="303" t="s">
        <v>266</v>
      </c>
      <c r="AH43" s="303" t="s">
        <v>366</v>
      </c>
      <c r="AI43" s="303" t="s">
        <v>366</v>
      </c>
      <c r="AJ43" s="305" t="s">
        <v>366</v>
      </c>
      <c r="AK43" s="303" t="s">
        <v>366</v>
      </c>
      <c r="AL43" s="303" t="s">
        <v>366</v>
      </c>
      <c r="AM43" s="303" t="s">
        <v>366</v>
      </c>
      <c r="AN43" s="303" t="s">
        <v>366</v>
      </c>
      <c r="AO43" s="303" t="s">
        <v>366</v>
      </c>
      <c r="AP43" s="303" t="s">
        <v>366</v>
      </c>
      <c r="AQ43" s="303" t="s">
        <v>366</v>
      </c>
      <c r="AR43" s="303" t="s">
        <v>366</v>
      </c>
      <c r="AS43" s="313">
        <f t="shared" si="2"/>
        <v>0.26666666666666666</v>
      </c>
      <c r="AT43" s="303" t="s">
        <v>366</v>
      </c>
      <c r="AU43" s="303" t="s">
        <v>366</v>
      </c>
      <c r="AV43" s="313">
        <f t="shared" si="3"/>
        <v>0</v>
      </c>
      <c r="AW43" s="329">
        <f t="shared" si="4"/>
        <v>0.32500000000000001</v>
      </c>
    </row>
    <row r="44" spans="3:49" s="302" customFormat="1" ht="18.75" customHeight="1" x14ac:dyDescent="0.3">
      <c r="C44" s="47" t="s">
        <v>10</v>
      </c>
      <c r="D44" s="47" t="s">
        <v>123</v>
      </c>
      <c r="E44" s="47" t="s">
        <v>61</v>
      </c>
      <c r="F44" s="47" t="s">
        <v>88</v>
      </c>
      <c r="G44" s="47" t="s">
        <v>89</v>
      </c>
      <c r="H44" s="47">
        <v>10</v>
      </c>
      <c r="I44" s="48" t="s">
        <v>262</v>
      </c>
      <c r="J44" s="77">
        <v>110697</v>
      </c>
      <c r="K44" s="64" t="s">
        <v>15</v>
      </c>
      <c r="L44" s="303" t="s">
        <v>267</v>
      </c>
      <c r="M44" s="312" t="s">
        <v>365</v>
      </c>
      <c r="N44" s="303" t="s">
        <v>366</v>
      </c>
      <c r="O44" s="303" t="s">
        <v>366</v>
      </c>
      <c r="P44" s="303" t="s">
        <v>366</v>
      </c>
      <c r="Q44" s="313">
        <f t="shared" si="0"/>
        <v>0.3</v>
      </c>
      <c r="R44" s="303" t="s">
        <v>267</v>
      </c>
      <c r="S44" s="303" t="s">
        <v>267</v>
      </c>
      <c r="T44" s="303" t="s">
        <v>267</v>
      </c>
      <c r="U44" s="303" t="s">
        <v>267</v>
      </c>
      <c r="V44" s="303" t="s">
        <v>267</v>
      </c>
      <c r="W44" s="303" t="s">
        <v>267</v>
      </c>
      <c r="X44" s="304" t="s">
        <v>271</v>
      </c>
      <c r="Y44" s="303" t="s">
        <v>366</v>
      </c>
      <c r="Z44" s="176" t="s">
        <v>272</v>
      </c>
      <c r="AA44" s="303" t="s">
        <v>365</v>
      </c>
      <c r="AB44" s="303" t="s">
        <v>366</v>
      </c>
      <c r="AC44" s="313">
        <f t="shared" si="1"/>
        <v>0.72222222222222221</v>
      </c>
      <c r="AD44" s="304" t="s">
        <v>271</v>
      </c>
      <c r="AE44" s="303" t="s">
        <v>365</v>
      </c>
      <c r="AF44" s="303" t="s">
        <v>366</v>
      </c>
      <c r="AG44" s="303" t="s">
        <v>366</v>
      </c>
      <c r="AH44" s="303" t="s">
        <v>366</v>
      </c>
      <c r="AI44" s="303" t="s">
        <v>365</v>
      </c>
      <c r="AJ44" s="303" t="s">
        <v>267</v>
      </c>
      <c r="AK44" s="303" t="s">
        <v>365</v>
      </c>
      <c r="AL44" s="303" t="s">
        <v>366</v>
      </c>
      <c r="AM44" s="303" t="s">
        <v>366</v>
      </c>
      <c r="AN44" s="303" t="s">
        <v>366</v>
      </c>
      <c r="AO44" s="303" t="s">
        <v>366</v>
      </c>
      <c r="AP44" s="303" t="s">
        <v>366</v>
      </c>
      <c r="AQ44" s="303" t="s">
        <v>366</v>
      </c>
      <c r="AR44" s="303" t="s">
        <v>366</v>
      </c>
      <c r="AS44" s="313">
        <f t="shared" si="2"/>
        <v>0.16666666666666666</v>
      </c>
      <c r="AT44" s="303" t="s">
        <v>366</v>
      </c>
      <c r="AU44" s="303" t="s">
        <v>366</v>
      </c>
      <c r="AV44" s="313">
        <f t="shared" si="3"/>
        <v>0</v>
      </c>
      <c r="AW44" s="329">
        <f t="shared" si="4"/>
        <v>0.29722222222222222</v>
      </c>
    </row>
    <row r="45" spans="3:49" s="302" customFormat="1" ht="18.75" customHeight="1" x14ac:dyDescent="0.3">
      <c r="C45" s="47" t="s">
        <v>4</v>
      </c>
      <c r="D45" s="47" t="s">
        <v>293</v>
      </c>
      <c r="E45" s="47" t="s">
        <v>307</v>
      </c>
      <c r="F45" s="47" t="s">
        <v>88</v>
      </c>
      <c r="G45" s="47" t="s">
        <v>103</v>
      </c>
      <c r="H45" s="47">
        <v>10</v>
      </c>
      <c r="I45" s="51" t="s">
        <v>262</v>
      </c>
      <c r="J45" s="77">
        <v>103640</v>
      </c>
      <c r="K45" s="62" t="s">
        <v>16</v>
      </c>
      <c r="L45" s="303" t="s">
        <v>267</v>
      </c>
      <c r="M45" s="303" t="s">
        <v>366</v>
      </c>
      <c r="N45" s="303" t="s">
        <v>366</v>
      </c>
      <c r="O45" s="303" t="s">
        <v>366</v>
      </c>
      <c r="P45" s="303" t="s">
        <v>366</v>
      </c>
      <c r="Q45" s="313">
        <f t="shared" si="0"/>
        <v>0.2</v>
      </c>
      <c r="R45" s="303" t="s">
        <v>267</v>
      </c>
      <c r="S45" s="303" t="s">
        <v>267</v>
      </c>
      <c r="T45" s="303" t="s">
        <v>267</v>
      </c>
      <c r="U45" s="303" t="s">
        <v>267</v>
      </c>
      <c r="V45" s="303" t="s">
        <v>267</v>
      </c>
      <c r="W45" s="303" t="s">
        <v>267</v>
      </c>
      <c r="X45" s="304" t="s">
        <v>267</v>
      </c>
      <c r="Y45" s="303" t="s">
        <v>366</v>
      </c>
      <c r="Z45" s="176" t="s">
        <v>268</v>
      </c>
      <c r="AA45" s="303" t="s">
        <v>365</v>
      </c>
      <c r="AB45" s="303" t="s">
        <v>366</v>
      </c>
      <c r="AC45" s="313">
        <f t="shared" si="1"/>
        <v>0.83333333333333337</v>
      </c>
      <c r="AD45" s="303" t="s">
        <v>366</v>
      </c>
      <c r="AE45" s="303" t="s">
        <v>366</v>
      </c>
      <c r="AF45" s="303" t="s">
        <v>366</v>
      </c>
      <c r="AG45" s="303" t="s">
        <v>366</v>
      </c>
      <c r="AH45" s="303" t="s">
        <v>366</v>
      </c>
      <c r="AI45" s="303" t="s">
        <v>366</v>
      </c>
      <c r="AJ45" s="305" t="s">
        <v>366</v>
      </c>
      <c r="AK45" s="303" t="s">
        <v>366</v>
      </c>
      <c r="AL45" s="312" t="s">
        <v>266</v>
      </c>
      <c r="AM45" s="303" t="s">
        <v>266</v>
      </c>
      <c r="AN45" s="303" t="s">
        <v>266</v>
      </c>
      <c r="AO45" s="303" t="s">
        <v>266</v>
      </c>
      <c r="AP45" s="303" t="s">
        <v>266</v>
      </c>
      <c r="AQ45" s="303" t="s">
        <v>266</v>
      </c>
      <c r="AR45" s="303" t="s">
        <v>266</v>
      </c>
      <c r="AS45" s="313">
        <f t="shared" si="2"/>
        <v>0.46666666666666667</v>
      </c>
      <c r="AT45" s="303" t="s">
        <v>366</v>
      </c>
      <c r="AU45" s="303" t="s">
        <v>366</v>
      </c>
      <c r="AV45" s="313">
        <f t="shared" si="3"/>
        <v>0</v>
      </c>
      <c r="AW45" s="329">
        <f t="shared" si="4"/>
        <v>0.375</v>
      </c>
    </row>
    <row r="46" spans="3:49" s="302" customFormat="1" ht="18.75" customHeight="1" x14ac:dyDescent="0.3">
      <c r="C46" s="47" t="s">
        <v>7</v>
      </c>
      <c r="D46" s="47" t="s">
        <v>287</v>
      </c>
      <c r="E46" s="47" t="s">
        <v>308</v>
      </c>
      <c r="F46" s="47" t="s">
        <v>100</v>
      </c>
      <c r="G46" s="47" t="s">
        <v>103</v>
      </c>
      <c r="H46" s="47">
        <v>10</v>
      </c>
      <c r="I46" s="306" t="s">
        <v>275</v>
      </c>
      <c r="J46" s="77">
        <v>3209</v>
      </c>
      <c r="K46" s="64" t="s">
        <v>15</v>
      </c>
      <c r="L46" s="303" t="s">
        <v>366</v>
      </c>
      <c r="M46" s="303" t="s">
        <v>366</v>
      </c>
      <c r="N46" s="303" t="s">
        <v>266</v>
      </c>
      <c r="O46" s="303" t="s">
        <v>366</v>
      </c>
      <c r="P46" s="303" t="s">
        <v>366</v>
      </c>
      <c r="Q46" s="313">
        <f t="shared" si="0"/>
        <v>0.2</v>
      </c>
      <c r="R46" s="303" t="s">
        <v>366</v>
      </c>
      <c r="S46" s="303" t="s">
        <v>366</v>
      </c>
      <c r="T46" s="303" t="s">
        <v>366</v>
      </c>
      <c r="U46" s="303" t="s">
        <v>266</v>
      </c>
      <c r="V46" s="303" t="s">
        <v>267</v>
      </c>
      <c r="W46" s="303" t="s">
        <v>267</v>
      </c>
      <c r="X46" s="304" t="s">
        <v>271</v>
      </c>
      <c r="Y46" s="303" t="s">
        <v>366</v>
      </c>
      <c r="Z46" s="176" t="s">
        <v>272</v>
      </c>
      <c r="AA46" s="303" t="s">
        <v>365</v>
      </c>
      <c r="AB46" s="303" t="s">
        <v>366</v>
      </c>
      <c r="AC46" s="313">
        <f t="shared" si="1"/>
        <v>0.3888888888888889</v>
      </c>
      <c r="AD46" s="303" t="s">
        <v>266</v>
      </c>
      <c r="AE46" s="303" t="s">
        <v>266</v>
      </c>
      <c r="AF46" s="303" t="s">
        <v>266</v>
      </c>
      <c r="AG46" s="303" t="s">
        <v>266</v>
      </c>
      <c r="AH46" s="303" t="s">
        <v>366</v>
      </c>
      <c r="AI46" s="303" t="s">
        <v>366</v>
      </c>
      <c r="AJ46" s="305" t="s">
        <v>366</v>
      </c>
      <c r="AK46" s="303" t="s">
        <v>366</v>
      </c>
      <c r="AL46" s="312" t="s">
        <v>266</v>
      </c>
      <c r="AM46" s="303" t="s">
        <v>266</v>
      </c>
      <c r="AN46" s="303" t="s">
        <v>266</v>
      </c>
      <c r="AO46" s="303" t="s">
        <v>266</v>
      </c>
      <c r="AP46" s="303" t="s">
        <v>266</v>
      </c>
      <c r="AQ46" s="303" t="s">
        <v>266</v>
      </c>
      <c r="AR46" s="303" t="s">
        <v>266</v>
      </c>
      <c r="AS46" s="313">
        <f t="shared" si="2"/>
        <v>0.73333333333333328</v>
      </c>
      <c r="AT46" s="303" t="s">
        <v>366</v>
      </c>
      <c r="AU46" s="303" t="s">
        <v>366</v>
      </c>
      <c r="AV46" s="313">
        <f t="shared" si="3"/>
        <v>0</v>
      </c>
      <c r="AW46" s="329">
        <f t="shared" si="4"/>
        <v>0.33055555555555555</v>
      </c>
    </row>
    <row r="47" spans="3:49" s="302" customFormat="1" ht="18.75" customHeight="1" x14ac:dyDescent="0.3">
      <c r="C47" s="47" t="s">
        <v>7</v>
      </c>
      <c r="D47" s="47" t="s">
        <v>287</v>
      </c>
      <c r="E47" s="47" t="s">
        <v>288</v>
      </c>
      <c r="F47" s="47" t="s">
        <v>100</v>
      </c>
      <c r="G47" s="47" t="s">
        <v>89</v>
      </c>
      <c r="H47" s="47">
        <v>10</v>
      </c>
      <c r="I47" s="306" t="s">
        <v>275</v>
      </c>
      <c r="J47" s="77">
        <v>1894</v>
      </c>
      <c r="K47" s="64" t="s">
        <v>14</v>
      </c>
      <c r="L47" s="303" t="s">
        <v>267</v>
      </c>
      <c r="M47" s="303" t="s">
        <v>366</v>
      </c>
      <c r="N47" s="303" t="s">
        <v>267</v>
      </c>
      <c r="O47" s="303" t="s">
        <v>366</v>
      </c>
      <c r="P47" s="303" t="s">
        <v>366</v>
      </c>
      <c r="Q47" s="313">
        <f t="shared" si="0"/>
        <v>0.4</v>
      </c>
      <c r="R47" s="303" t="s">
        <v>267</v>
      </c>
      <c r="S47" s="303" t="s">
        <v>267</v>
      </c>
      <c r="T47" s="303" t="s">
        <v>267</v>
      </c>
      <c r="U47" s="303" t="s">
        <v>266</v>
      </c>
      <c r="V47" s="303" t="s">
        <v>267</v>
      </c>
      <c r="W47" s="303" t="s">
        <v>267</v>
      </c>
      <c r="X47" s="304" t="s">
        <v>271</v>
      </c>
      <c r="Y47" s="303" t="s">
        <v>366</v>
      </c>
      <c r="Z47" s="176" t="s">
        <v>272</v>
      </c>
      <c r="AA47" s="303" t="s">
        <v>365</v>
      </c>
      <c r="AB47" s="303" t="s">
        <v>366</v>
      </c>
      <c r="AC47" s="313">
        <f t="shared" si="1"/>
        <v>0.72222222222222221</v>
      </c>
      <c r="AD47" s="303" t="s">
        <v>266</v>
      </c>
      <c r="AE47" s="303" t="s">
        <v>266</v>
      </c>
      <c r="AF47" s="303" t="s">
        <v>266</v>
      </c>
      <c r="AG47" s="303" t="s">
        <v>266</v>
      </c>
      <c r="AH47" s="303" t="s">
        <v>366</v>
      </c>
      <c r="AI47" s="303" t="s">
        <v>267</v>
      </c>
      <c r="AJ47" s="303" t="s">
        <v>267</v>
      </c>
      <c r="AK47" s="303" t="s">
        <v>267</v>
      </c>
      <c r="AL47" s="303" t="s">
        <v>267</v>
      </c>
      <c r="AM47" s="305" t="s">
        <v>267</v>
      </c>
      <c r="AN47" s="305" t="s">
        <v>267</v>
      </c>
      <c r="AO47" s="305" t="s">
        <v>267</v>
      </c>
      <c r="AP47" s="305" t="s">
        <v>267</v>
      </c>
      <c r="AQ47" s="303" t="s">
        <v>365</v>
      </c>
      <c r="AR47" s="303" t="s">
        <v>366</v>
      </c>
      <c r="AS47" s="313">
        <f t="shared" si="2"/>
        <v>0.83333333333333337</v>
      </c>
      <c r="AT47" s="303" t="s">
        <v>366</v>
      </c>
      <c r="AU47" s="303" t="s">
        <v>366</v>
      </c>
      <c r="AV47" s="313">
        <f t="shared" si="3"/>
        <v>0</v>
      </c>
      <c r="AW47" s="329">
        <f t="shared" si="4"/>
        <v>0.48888888888888893</v>
      </c>
    </row>
    <row r="48" spans="3:49" s="302" customFormat="1" ht="18.75" customHeight="1" x14ac:dyDescent="0.3">
      <c r="C48" s="47" t="s">
        <v>7</v>
      </c>
      <c r="D48" s="47" t="s">
        <v>287</v>
      </c>
      <c r="E48" s="47" t="s">
        <v>288</v>
      </c>
      <c r="F48" s="47" t="s">
        <v>88</v>
      </c>
      <c r="G48" s="47" t="s">
        <v>89</v>
      </c>
      <c r="H48" s="47">
        <v>10</v>
      </c>
      <c r="I48" s="306" t="s">
        <v>262</v>
      </c>
      <c r="J48" s="77">
        <v>53632</v>
      </c>
      <c r="K48" s="64" t="s">
        <v>14</v>
      </c>
      <c r="L48" s="303" t="s">
        <v>267</v>
      </c>
      <c r="M48" s="303" t="s">
        <v>267</v>
      </c>
      <c r="N48" s="303" t="s">
        <v>267</v>
      </c>
      <c r="O48" s="303" t="s">
        <v>267</v>
      </c>
      <c r="P48" s="303" t="s">
        <v>366</v>
      </c>
      <c r="Q48" s="313">
        <f t="shared" si="0"/>
        <v>0.8</v>
      </c>
      <c r="R48" s="303" t="s">
        <v>267</v>
      </c>
      <c r="S48" s="303" t="s">
        <v>267</v>
      </c>
      <c r="T48" s="303" t="s">
        <v>267</v>
      </c>
      <c r="U48" s="303" t="s">
        <v>267</v>
      </c>
      <c r="V48" s="303" t="s">
        <v>267</v>
      </c>
      <c r="W48" s="303" t="s">
        <v>267</v>
      </c>
      <c r="X48" s="304" t="s">
        <v>271</v>
      </c>
      <c r="Y48" s="303" t="s">
        <v>366</v>
      </c>
      <c r="Z48" s="176" t="s">
        <v>272</v>
      </c>
      <c r="AA48" s="303" t="s">
        <v>365</v>
      </c>
      <c r="AB48" s="303" t="s">
        <v>366</v>
      </c>
      <c r="AC48" s="313">
        <f t="shared" si="1"/>
        <v>0.72222222222222221</v>
      </c>
      <c r="AD48" s="303" t="s">
        <v>267</v>
      </c>
      <c r="AE48" s="303" t="s">
        <v>267</v>
      </c>
      <c r="AF48" s="303" t="s">
        <v>365</v>
      </c>
      <c r="AG48" s="303" t="s">
        <v>365</v>
      </c>
      <c r="AH48" s="303" t="s">
        <v>366</v>
      </c>
      <c r="AI48" s="303" t="s">
        <v>267</v>
      </c>
      <c r="AJ48" s="303" t="s">
        <v>267</v>
      </c>
      <c r="AK48" s="303" t="s">
        <v>365</v>
      </c>
      <c r="AL48" s="303" t="s">
        <v>267</v>
      </c>
      <c r="AM48" s="305" t="s">
        <v>267</v>
      </c>
      <c r="AN48" s="305" t="s">
        <v>267</v>
      </c>
      <c r="AO48" s="305" t="s">
        <v>267</v>
      </c>
      <c r="AP48" s="305" t="s">
        <v>267</v>
      </c>
      <c r="AQ48" s="303" t="s">
        <v>365</v>
      </c>
      <c r="AR48" s="303" t="s">
        <v>366</v>
      </c>
      <c r="AS48" s="313">
        <f t="shared" si="2"/>
        <v>0.73333333333333328</v>
      </c>
      <c r="AT48" s="303" t="s">
        <v>366</v>
      </c>
      <c r="AU48" s="303" t="s">
        <v>366</v>
      </c>
      <c r="AV48" s="313">
        <f t="shared" si="3"/>
        <v>0</v>
      </c>
      <c r="AW48" s="329">
        <f t="shared" si="4"/>
        <v>0.56388888888888888</v>
      </c>
    </row>
    <row r="49" spans="3:49" s="302" customFormat="1" ht="18.75" customHeight="1" x14ac:dyDescent="0.3">
      <c r="C49" s="47" t="s">
        <v>7</v>
      </c>
      <c r="D49" s="47" t="s">
        <v>289</v>
      </c>
      <c r="E49" s="47" t="s">
        <v>310</v>
      </c>
      <c r="F49" s="47" t="s">
        <v>88</v>
      </c>
      <c r="G49" s="47" t="s">
        <v>101</v>
      </c>
      <c r="H49" s="47">
        <v>10</v>
      </c>
      <c r="I49" s="306" t="s">
        <v>262</v>
      </c>
      <c r="J49" s="77">
        <v>110267</v>
      </c>
      <c r="K49" s="62" t="s">
        <v>16</v>
      </c>
      <c r="L49" s="303" t="s">
        <v>267</v>
      </c>
      <c r="M49" s="303" t="s">
        <v>366</v>
      </c>
      <c r="N49" s="303" t="s">
        <v>366</v>
      </c>
      <c r="O49" s="303" t="s">
        <v>366</v>
      </c>
      <c r="P49" s="303" t="s">
        <v>366</v>
      </c>
      <c r="Q49" s="313">
        <f t="shared" si="0"/>
        <v>0.2</v>
      </c>
      <c r="R49" s="303" t="s">
        <v>267</v>
      </c>
      <c r="S49" s="303" t="s">
        <v>267</v>
      </c>
      <c r="T49" s="303" t="s">
        <v>267</v>
      </c>
      <c r="U49" s="303" t="s">
        <v>267</v>
      </c>
      <c r="V49" s="303" t="s">
        <v>267</v>
      </c>
      <c r="W49" s="303" t="s">
        <v>267</v>
      </c>
      <c r="X49" s="304" t="s">
        <v>267</v>
      </c>
      <c r="Y49" s="303" t="s">
        <v>366</v>
      </c>
      <c r="Z49" s="176" t="s">
        <v>268</v>
      </c>
      <c r="AA49" s="303" t="s">
        <v>365</v>
      </c>
      <c r="AB49" s="303" t="s">
        <v>366</v>
      </c>
      <c r="AC49" s="313">
        <f t="shared" si="1"/>
        <v>0.83333333333333337</v>
      </c>
      <c r="AD49" s="303" t="s">
        <v>366</v>
      </c>
      <c r="AE49" s="303" t="s">
        <v>366</v>
      </c>
      <c r="AF49" s="303" t="s">
        <v>366</v>
      </c>
      <c r="AG49" s="303" t="s">
        <v>366</v>
      </c>
      <c r="AH49" s="303" t="s">
        <v>366</v>
      </c>
      <c r="AI49" s="303" t="s">
        <v>366</v>
      </c>
      <c r="AJ49" s="305" t="s">
        <v>366</v>
      </c>
      <c r="AK49" s="303" t="s">
        <v>366</v>
      </c>
      <c r="AL49" s="312" t="s">
        <v>266</v>
      </c>
      <c r="AM49" s="303" t="s">
        <v>266</v>
      </c>
      <c r="AN49" s="303" t="s">
        <v>266</v>
      </c>
      <c r="AO49" s="303" t="s">
        <v>266</v>
      </c>
      <c r="AP49" s="303" t="s">
        <v>266</v>
      </c>
      <c r="AQ49" s="303" t="s">
        <v>266</v>
      </c>
      <c r="AR49" s="303" t="s">
        <v>266</v>
      </c>
      <c r="AS49" s="313">
        <f t="shared" si="2"/>
        <v>0.46666666666666667</v>
      </c>
      <c r="AT49" s="303" t="s">
        <v>366</v>
      </c>
      <c r="AU49" s="303" t="s">
        <v>366</v>
      </c>
      <c r="AV49" s="313">
        <f t="shared" si="3"/>
        <v>0</v>
      </c>
      <c r="AW49" s="329">
        <f t="shared" si="4"/>
        <v>0.375</v>
      </c>
    </row>
    <row r="50" spans="3:49" s="302" customFormat="1" ht="18.75" customHeight="1" x14ac:dyDescent="0.3">
      <c r="C50" s="47" t="s">
        <v>4</v>
      </c>
      <c r="D50" s="47" t="s">
        <v>260</v>
      </c>
      <c r="E50" s="47" t="s">
        <v>311</v>
      </c>
      <c r="F50" s="47" t="s">
        <v>100</v>
      </c>
      <c r="G50" s="47" t="s">
        <v>101</v>
      </c>
      <c r="H50" s="47">
        <v>10</v>
      </c>
      <c r="I50" s="51" t="s">
        <v>265</v>
      </c>
      <c r="J50" s="77">
        <v>102633</v>
      </c>
      <c r="K50" s="62" t="s">
        <v>16</v>
      </c>
      <c r="L50" s="303" t="s">
        <v>267</v>
      </c>
      <c r="M50" s="303" t="s">
        <v>366</v>
      </c>
      <c r="N50" s="303" t="s">
        <v>366</v>
      </c>
      <c r="O50" s="303" t="s">
        <v>366</v>
      </c>
      <c r="P50" s="303" t="s">
        <v>366</v>
      </c>
      <c r="Q50" s="313">
        <f t="shared" si="0"/>
        <v>0.2</v>
      </c>
      <c r="R50" s="303" t="s">
        <v>267</v>
      </c>
      <c r="S50" s="303" t="s">
        <v>267</v>
      </c>
      <c r="T50" s="303" t="s">
        <v>267</v>
      </c>
      <c r="U50" s="303" t="s">
        <v>267</v>
      </c>
      <c r="V50" s="303" t="s">
        <v>267</v>
      </c>
      <c r="W50" s="303" t="s">
        <v>267</v>
      </c>
      <c r="X50" s="304" t="s">
        <v>267</v>
      </c>
      <c r="Y50" s="303" t="s">
        <v>366</v>
      </c>
      <c r="Z50" s="176" t="s">
        <v>268</v>
      </c>
      <c r="AA50" s="303" t="s">
        <v>365</v>
      </c>
      <c r="AB50" s="303" t="s">
        <v>366</v>
      </c>
      <c r="AC50" s="313">
        <f t="shared" si="1"/>
        <v>0.83333333333333337</v>
      </c>
      <c r="AD50" s="303" t="s">
        <v>266</v>
      </c>
      <c r="AE50" s="303" t="s">
        <v>266</v>
      </c>
      <c r="AF50" s="303" t="s">
        <v>266</v>
      </c>
      <c r="AG50" s="312" t="s">
        <v>266</v>
      </c>
      <c r="AH50" s="303" t="s">
        <v>366</v>
      </c>
      <c r="AI50" s="303" t="s">
        <v>366</v>
      </c>
      <c r="AJ50" s="305" t="s">
        <v>366</v>
      </c>
      <c r="AK50" s="303" t="s">
        <v>366</v>
      </c>
      <c r="AL50" s="303" t="s">
        <v>366</v>
      </c>
      <c r="AM50" s="303" t="s">
        <v>366</v>
      </c>
      <c r="AN50" s="303" t="s">
        <v>366</v>
      </c>
      <c r="AO50" s="303" t="s">
        <v>366</v>
      </c>
      <c r="AP50" s="303" t="s">
        <v>366</v>
      </c>
      <c r="AQ50" s="303" t="s">
        <v>366</v>
      </c>
      <c r="AR50" s="303" t="s">
        <v>366</v>
      </c>
      <c r="AS50" s="313">
        <f t="shared" si="2"/>
        <v>0.26666666666666666</v>
      </c>
      <c r="AT50" s="303" t="s">
        <v>366</v>
      </c>
      <c r="AU50" s="303" t="s">
        <v>366</v>
      </c>
      <c r="AV50" s="313">
        <f t="shared" si="3"/>
        <v>0</v>
      </c>
      <c r="AW50" s="329">
        <f t="shared" si="4"/>
        <v>0.32500000000000001</v>
      </c>
    </row>
    <row r="51" spans="3:49" s="302" customFormat="1" ht="18.75" customHeight="1" x14ac:dyDescent="0.3">
      <c r="C51" s="47" t="s">
        <v>4</v>
      </c>
      <c r="D51" s="47" t="s">
        <v>260</v>
      </c>
      <c r="E51" s="47" t="s">
        <v>56</v>
      </c>
      <c r="F51" s="47" t="s">
        <v>100</v>
      </c>
      <c r="G51" s="47" t="s">
        <v>89</v>
      </c>
      <c r="H51" s="47">
        <v>10</v>
      </c>
      <c r="I51" s="51" t="s">
        <v>265</v>
      </c>
      <c r="J51" s="77">
        <v>102632</v>
      </c>
      <c r="K51" s="62" t="s">
        <v>16</v>
      </c>
      <c r="L51" s="303" t="s">
        <v>267</v>
      </c>
      <c r="M51" s="303" t="s">
        <v>366</v>
      </c>
      <c r="N51" s="303" t="s">
        <v>366</v>
      </c>
      <c r="O51" s="303" t="s">
        <v>366</v>
      </c>
      <c r="P51" s="303" t="s">
        <v>366</v>
      </c>
      <c r="Q51" s="313">
        <f t="shared" si="0"/>
        <v>0.2</v>
      </c>
      <c r="R51" s="303" t="s">
        <v>267</v>
      </c>
      <c r="S51" s="303" t="s">
        <v>267</v>
      </c>
      <c r="T51" s="303" t="s">
        <v>267</v>
      </c>
      <c r="U51" s="303" t="s">
        <v>266</v>
      </c>
      <c r="V51" s="303" t="s">
        <v>267</v>
      </c>
      <c r="W51" s="303" t="s">
        <v>267</v>
      </c>
      <c r="X51" s="304" t="s">
        <v>271</v>
      </c>
      <c r="Y51" s="303" t="s">
        <v>366</v>
      </c>
      <c r="Z51" s="176" t="s">
        <v>268</v>
      </c>
      <c r="AA51" s="303" t="s">
        <v>365</v>
      </c>
      <c r="AB51" s="303" t="s">
        <v>366</v>
      </c>
      <c r="AC51" s="313">
        <f t="shared" si="1"/>
        <v>0.72222222222222221</v>
      </c>
      <c r="AD51" s="303" t="s">
        <v>266</v>
      </c>
      <c r="AE51" s="303" t="s">
        <v>266</v>
      </c>
      <c r="AF51" s="303" t="s">
        <v>266</v>
      </c>
      <c r="AG51" s="312" t="s">
        <v>266</v>
      </c>
      <c r="AH51" s="303" t="s">
        <v>366</v>
      </c>
      <c r="AI51" s="303" t="s">
        <v>366</v>
      </c>
      <c r="AJ51" s="305" t="s">
        <v>366</v>
      </c>
      <c r="AK51" s="303" t="s">
        <v>366</v>
      </c>
      <c r="AL51" s="303" t="s">
        <v>366</v>
      </c>
      <c r="AM51" s="303" t="s">
        <v>366</v>
      </c>
      <c r="AN51" s="303" t="s">
        <v>366</v>
      </c>
      <c r="AO51" s="303" t="s">
        <v>366</v>
      </c>
      <c r="AP51" s="303" t="s">
        <v>366</v>
      </c>
      <c r="AQ51" s="303" t="s">
        <v>366</v>
      </c>
      <c r="AR51" s="303" t="s">
        <v>366</v>
      </c>
      <c r="AS51" s="313">
        <f t="shared" si="2"/>
        <v>0.26666666666666666</v>
      </c>
      <c r="AT51" s="303" t="s">
        <v>366</v>
      </c>
      <c r="AU51" s="303" t="s">
        <v>366</v>
      </c>
      <c r="AV51" s="313">
        <f t="shared" si="3"/>
        <v>0</v>
      </c>
      <c r="AW51" s="329">
        <f t="shared" si="4"/>
        <v>0.29722222222222222</v>
      </c>
    </row>
    <row r="52" spans="3:49" s="302" customFormat="1" ht="18.75" customHeight="1" x14ac:dyDescent="0.3">
      <c r="C52" s="47" t="s">
        <v>7</v>
      </c>
      <c r="D52" s="47" t="s">
        <v>298</v>
      </c>
      <c r="E52" s="47" t="s">
        <v>312</v>
      </c>
      <c r="F52" s="47" t="s">
        <v>88</v>
      </c>
      <c r="G52" s="47" t="s">
        <v>89</v>
      </c>
      <c r="H52" s="47">
        <v>10</v>
      </c>
      <c r="I52" s="306" t="s">
        <v>262</v>
      </c>
      <c r="J52" s="77">
        <v>110043</v>
      </c>
      <c r="K52" s="62" t="s">
        <v>16</v>
      </c>
      <c r="L52" s="303" t="s">
        <v>366</v>
      </c>
      <c r="M52" s="303" t="s">
        <v>366</v>
      </c>
      <c r="N52" s="303" t="s">
        <v>366</v>
      </c>
      <c r="O52" s="303" t="s">
        <v>366</v>
      </c>
      <c r="P52" s="303" t="s">
        <v>366</v>
      </c>
      <c r="Q52" s="313">
        <f t="shared" si="0"/>
        <v>0</v>
      </c>
      <c r="R52" s="303" t="s">
        <v>366</v>
      </c>
      <c r="S52" s="303" t="s">
        <v>365</v>
      </c>
      <c r="T52" s="303" t="s">
        <v>365</v>
      </c>
      <c r="U52" s="303" t="s">
        <v>267</v>
      </c>
      <c r="V52" s="303" t="s">
        <v>267</v>
      </c>
      <c r="W52" s="303" t="s">
        <v>267</v>
      </c>
      <c r="X52" s="304" t="s">
        <v>267</v>
      </c>
      <c r="Y52" s="303" t="s">
        <v>366</v>
      </c>
      <c r="Z52" s="176" t="s">
        <v>268</v>
      </c>
      <c r="AA52" s="303" t="s">
        <v>365</v>
      </c>
      <c r="AB52" s="303" t="s">
        <v>366</v>
      </c>
      <c r="AC52" s="313">
        <f t="shared" si="1"/>
        <v>0.61111111111111116</v>
      </c>
      <c r="AD52" s="303" t="s">
        <v>366</v>
      </c>
      <c r="AE52" s="303" t="s">
        <v>366</v>
      </c>
      <c r="AF52" s="303" t="s">
        <v>366</v>
      </c>
      <c r="AG52" s="303" t="s">
        <v>366</v>
      </c>
      <c r="AH52" s="303" t="s">
        <v>366</v>
      </c>
      <c r="AI52" s="303" t="s">
        <v>366</v>
      </c>
      <c r="AJ52" s="305" t="s">
        <v>366</v>
      </c>
      <c r="AK52" s="303" t="s">
        <v>366</v>
      </c>
      <c r="AL52" s="303" t="s">
        <v>366</v>
      </c>
      <c r="AM52" s="303" t="s">
        <v>366</v>
      </c>
      <c r="AN52" s="303" t="s">
        <v>366</v>
      </c>
      <c r="AO52" s="303" t="s">
        <v>366</v>
      </c>
      <c r="AP52" s="303" t="s">
        <v>366</v>
      </c>
      <c r="AQ52" s="303" t="s">
        <v>366</v>
      </c>
      <c r="AR52" s="303" t="s">
        <v>366</v>
      </c>
      <c r="AS52" s="313">
        <f t="shared" si="2"/>
        <v>0</v>
      </c>
      <c r="AT52" s="303" t="s">
        <v>366</v>
      </c>
      <c r="AU52" s="303" t="s">
        <v>366</v>
      </c>
      <c r="AV52" s="313">
        <f t="shared" si="3"/>
        <v>0</v>
      </c>
      <c r="AW52" s="329">
        <f t="shared" si="4"/>
        <v>0.15277777777777779</v>
      </c>
    </row>
    <row r="53" spans="3:49" s="302" customFormat="1" ht="18.75" customHeight="1" x14ac:dyDescent="0.3">
      <c r="C53" s="47" t="s">
        <v>4</v>
      </c>
      <c r="D53" s="47" t="s">
        <v>303</v>
      </c>
      <c r="E53" s="47" t="s">
        <v>94</v>
      </c>
      <c r="F53" s="47" t="s">
        <v>100</v>
      </c>
      <c r="G53" s="47" t="s">
        <v>89</v>
      </c>
      <c r="H53" s="47">
        <v>10</v>
      </c>
      <c r="I53" s="51" t="s">
        <v>275</v>
      </c>
      <c r="J53" s="77">
        <v>16017</v>
      </c>
      <c r="K53" s="62" t="s">
        <v>16</v>
      </c>
      <c r="L53" s="303" t="s">
        <v>366</v>
      </c>
      <c r="M53" s="303" t="s">
        <v>366</v>
      </c>
      <c r="N53" s="303" t="s">
        <v>366</v>
      </c>
      <c r="O53" s="303" t="s">
        <v>366</v>
      </c>
      <c r="P53" s="303" t="s">
        <v>366</v>
      </c>
      <c r="Q53" s="313">
        <f t="shared" si="0"/>
        <v>0</v>
      </c>
      <c r="R53" s="303" t="s">
        <v>366</v>
      </c>
      <c r="S53" s="303" t="s">
        <v>365</v>
      </c>
      <c r="T53" s="303" t="s">
        <v>365</v>
      </c>
      <c r="U53" s="303" t="s">
        <v>266</v>
      </c>
      <c r="V53" s="303" t="s">
        <v>267</v>
      </c>
      <c r="W53" s="303" t="s">
        <v>267</v>
      </c>
      <c r="X53" s="304" t="s">
        <v>271</v>
      </c>
      <c r="Y53" s="303" t="s">
        <v>366</v>
      </c>
      <c r="Z53" s="176" t="s">
        <v>268</v>
      </c>
      <c r="AA53" s="303" t="s">
        <v>365</v>
      </c>
      <c r="AB53" s="303" t="s">
        <v>366</v>
      </c>
      <c r="AC53" s="313">
        <f t="shared" si="1"/>
        <v>0.5</v>
      </c>
      <c r="AD53" s="303" t="s">
        <v>266</v>
      </c>
      <c r="AE53" s="303" t="s">
        <v>266</v>
      </c>
      <c r="AF53" s="303" t="s">
        <v>266</v>
      </c>
      <c r="AG53" s="303" t="s">
        <v>266</v>
      </c>
      <c r="AH53" s="303" t="s">
        <v>366</v>
      </c>
      <c r="AI53" s="303" t="s">
        <v>366</v>
      </c>
      <c r="AJ53" s="305" t="s">
        <v>366</v>
      </c>
      <c r="AK53" s="303" t="s">
        <v>366</v>
      </c>
      <c r="AL53" s="303" t="s">
        <v>366</v>
      </c>
      <c r="AM53" s="303" t="s">
        <v>366</v>
      </c>
      <c r="AN53" s="303" t="s">
        <v>366</v>
      </c>
      <c r="AO53" s="303" t="s">
        <v>366</v>
      </c>
      <c r="AP53" s="303" t="s">
        <v>366</v>
      </c>
      <c r="AQ53" s="303" t="s">
        <v>366</v>
      </c>
      <c r="AR53" s="303" t="s">
        <v>366</v>
      </c>
      <c r="AS53" s="313">
        <f t="shared" si="2"/>
        <v>0.26666666666666666</v>
      </c>
      <c r="AT53" s="303" t="s">
        <v>366</v>
      </c>
      <c r="AU53" s="303" t="s">
        <v>366</v>
      </c>
      <c r="AV53" s="313">
        <f t="shared" si="3"/>
        <v>0</v>
      </c>
      <c r="AW53" s="329">
        <f t="shared" si="4"/>
        <v>0.19166666666666665</v>
      </c>
    </row>
    <row r="54" spans="3:49" s="302" customFormat="1" ht="18.75" customHeight="1" x14ac:dyDescent="0.3">
      <c r="C54" s="47" t="s">
        <v>4</v>
      </c>
      <c r="D54" s="47" t="s">
        <v>303</v>
      </c>
      <c r="E54" s="47" t="s">
        <v>94</v>
      </c>
      <c r="F54" s="47" t="s">
        <v>100</v>
      </c>
      <c r="G54" s="47" t="s">
        <v>89</v>
      </c>
      <c r="H54" s="47">
        <v>10</v>
      </c>
      <c r="I54" s="51" t="s">
        <v>265</v>
      </c>
      <c r="J54" s="77">
        <v>103752</v>
      </c>
      <c r="K54" s="62" t="s">
        <v>16</v>
      </c>
      <c r="L54" s="303" t="s">
        <v>366</v>
      </c>
      <c r="M54" s="303" t="s">
        <v>366</v>
      </c>
      <c r="N54" s="303" t="s">
        <v>366</v>
      </c>
      <c r="O54" s="303" t="s">
        <v>366</v>
      </c>
      <c r="P54" s="303" t="s">
        <v>366</v>
      </c>
      <c r="Q54" s="313">
        <f t="shared" si="0"/>
        <v>0</v>
      </c>
      <c r="R54" s="303" t="s">
        <v>366</v>
      </c>
      <c r="S54" s="303" t="s">
        <v>365</v>
      </c>
      <c r="T54" s="303" t="s">
        <v>365</v>
      </c>
      <c r="U54" s="303" t="s">
        <v>266</v>
      </c>
      <c r="V54" s="303" t="s">
        <v>267</v>
      </c>
      <c r="W54" s="303" t="s">
        <v>267</v>
      </c>
      <c r="X54" s="304" t="s">
        <v>271</v>
      </c>
      <c r="Y54" s="303" t="s">
        <v>366</v>
      </c>
      <c r="Z54" s="176" t="s">
        <v>272</v>
      </c>
      <c r="AA54" s="303" t="s">
        <v>365</v>
      </c>
      <c r="AB54" s="303" t="s">
        <v>366</v>
      </c>
      <c r="AC54" s="313">
        <f t="shared" si="1"/>
        <v>0.5</v>
      </c>
      <c r="AD54" s="303" t="s">
        <v>266</v>
      </c>
      <c r="AE54" s="303" t="s">
        <v>266</v>
      </c>
      <c r="AF54" s="303" t="s">
        <v>266</v>
      </c>
      <c r="AG54" s="303" t="s">
        <v>266</v>
      </c>
      <c r="AH54" s="303" t="s">
        <v>366</v>
      </c>
      <c r="AI54" s="303" t="s">
        <v>366</v>
      </c>
      <c r="AJ54" s="305" t="s">
        <v>366</v>
      </c>
      <c r="AK54" s="303" t="s">
        <v>366</v>
      </c>
      <c r="AL54" s="303" t="s">
        <v>366</v>
      </c>
      <c r="AM54" s="303" t="s">
        <v>366</v>
      </c>
      <c r="AN54" s="303" t="s">
        <v>366</v>
      </c>
      <c r="AO54" s="303" t="s">
        <v>366</v>
      </c>
      <c r="AP54" s="303" t="s">
        <v>366</v>
      </c>
      <c r="AQ54" s="303" t="s">
        <v>366</v>
      </c>
      <c r="AR54" s="303" t="s">
        <v>366</v>
      </c>
      <c r="AS54" s="313">
        <f t="shared" si="2"/>
        <v>0.26666666666666666</v>
      </c>
      <c r="AT54" s="303" t="s">
        <v>366</v>
      </c>
      <c r="AU54" s="303" t="s">
        <v>366</v>
      </c>
      <c r="AV54" s="313">
        <f t="shared" si="3"/>
        <v>0</v>
      </c>
      <c r="AW54" s="329">
        <f t="shared" si="4"/>
        <v>0.19166666666666665</v>
      </c>
    </row>
    <row r="55" spans="3:49" s="302" customFormat="1" ht="18.75" customHeight="1" x14ac:dyDescent="0.3">
      <c r="C55" s="47" t="s">
        <v>4</v>
      </c>
      <c r="D55" s="47" t="s">
        <v>303</v>
      </c>
      <c r="E55" s="47" t="s">
        <v>94</v>
      </c>
      <c r="F55" s="47" t="s">
        <v>88</v>
      </c>
      <c r="G55" s="47" t="s">
        <v>89</v>
      </c>
      <c r="H55" s="47">
        <v>10</v>
      </c>
      <c r="I55" s="51" t="s">
        <v>262</v>
      </c>
      <c r="J55" s="77">
        <v>110286</v>
      </c>
      <c r="K55" s="62" t="s">
        <v>16</v>
      </c>
      <c r="L55" s="303" t="s">
        <v>366</v>
      </c>
      <c r="M55" s="303" t="s">
        <v>366</v>
      </c>
      <c r="N55" s="303" t="s">
        <v>366</v>
      </c>
      <c r="O55" s="303" t="s">
        <v>366</v>
      </c>
      <c r="P55" s="303" t="s">
        <v>366</v>
      </c>
      <c r="Q55" s="313">
        <f t="shared" si="0"/>
        <v>0</v>
      </c>
      <c r="R55" s="303" t="s">
        <v>366</v>
      </c>
      <c r="S55" s="303" t="s">
        <v>365</v>
      </c>
      <c r="T55" s="303" t="s">
        <v>365</v>
      </c>
      <c r="U55" s="303" t="s">
        <v>267</v>
      </c>
      <c r="V55" s="303" t="s">
        <v>267</v>
      </c>
      <c r="W55" s="303" t="s">
        <v>267</v>
      </c>
      <c r="X55" s="304" t="s">
        <v>271</v>
      </c>
      <c r="Y55" s="303" t="s">
        <v>366</v>
      </c>
      <c r="Z55" s="176" t="s">
        <v>268</v>
      </c>
      <c r="AA55" s="303" t="s">
        <v>365</v>
      </c>
      <c r="AB55" s="303" t="s">
        <v>366</v>
      </c>
      <c r="AC55" s="313">
        <f t="shared" si="1"/>
        <v>0.5</v>
      </c>
      <c r="AD55" s="303" t="s">
        <v>366</v>
      </c>
      <c r="AE55" s="303" t="s">
        <v>366</v>
      </c>
      <c r="AF55" s="303" t="s">
        <v>366</v>
      </c>
      <c r="AG55" s="303" t="s">
        <v>366</v>
      </c>
      <c r="AH55" s="303" t="s">
        <v>366</v>
      </c>
      <c r="AI55" s="303" t="s">
        <v>366</v>
      </c>
      <c r="AJ55" s="305" t="s">
        <v>366</v>
      </c>
      <c r="AK55" s="303" t="s">
        <v>366</v>
      </c>
      <c r="AL55" s="303" t="s">
        <v>366</v>
      </c>
      <c r="AM55" s="303" t="s">
        <v>366</v>
      </c>
      <c r="AN55" s="303" t="s">
        <v>366</v>
      </c>
      <c r="AO55" s="303" t="s">
        <v>366</v>
      </c>
      <c r="AP55" s="303" t="s">
        <v>366</v>
      </c>
      <c r="AQ55" s="303" t="s">
        <v>366</v>
      </c>
      <c r="AR55" s="303" t="s">
        <v>366</v>
      </c>
      <c r="AS55" s="313">
        <f t="shared" si="2"/>
        <v>0</v>
      </c>
      <c r="AT55" s="303" t="s">
        <v>366</v>
      </c>
      <c r="AU55" s="303" t="s">
        <v>366</v>
      </c>
      <c r="AV55" s="313">
        <f t="shared" si="3"/>
        <v>0</v>
      </c>
      <c r="AW55" s="329">
        <f t="shared" si="4"/>
        <v>0.125</v>
      </c>
    </row>
    <row r="56" spans="3:49" s="302" customFormat="1" ht="18.75" customHeight="1" x14ac:dyDescent="0.3">
      <c r="C56" s="47" t="s">
        <v>7</v>
      </c>
      <c r="D56" s="47" t="s">
        <v>289</v>
      </c>
      <c r="E56" s="47" t="s">
        <v>313</v>
      </c>
      <c r="F56" s="47" t="s">
        <v>100</v>
      </c>
      <c r="G56" s="47" t="s">
        <v>101</v>
      </c>
      <c r="H56" s="47">
        <v>10</v>
      </c>
      <c r="I56" s="306" t="s">
        <v>275</v>
      </c>
      <c r="J56" s="77">
        <v>53237</v>
      </c>
      <c r="K56" s="62" t="s">
        <v>16</v>
      </c>
      <c r="L56" s="303" t="s">
        <v>366</v>
      </c>
      <c r="M56" s="303" t="s">
        <v>366</v>
      </c>
      <c r="N56" s="303" t="s">
        <v>366</v>
      </c>
      <c r="O56" s="303" t="s">
        <v>366</v>
      </c>
      <c r="P56" s="303" t="s">
        <v>366</v>
      </c>
      <c r="Q56" s="313">
        <f t="shared" si="0"/>
        <v>0</v>
      </c>
      <c r="R56" s="303" t="s">
        <v>366</v>
      </c>
      <c r="S56" s="303" t="s">
        <v>365</v>
      </c>
      <c r="T56" s="303" t="s">
        <v>365</v>
      </c>
      <c r="U56" s="303" t="s">
        <v>266</v>
      </c>
      <c r="V56" s="303" t="s">
        <v>267</v>
      </c>
      <c r="W56" s="303" t="s">
        <v>267</v>
      </c>
      <c r="X56" s="304" t="s">
        <v>267</v>
      </c>
      <c r="Y56" s="303" t="s">
        <v>366</v>
      </c>
      <c r="Z56" s="176" t="s">
        <v>272</v>
      </c>
      <c r="AA56" s="303" t="s">
        <v>365</v>
      </c>
      <c r="AB56" s="303" t="s">
        <v>366</v>
      </c>
      <c r="AC56" s="313">
        <f t="shared" si="1"/>
        <v>0.61111111111111116</v>
      </c>
      <c r="AD56" s="303" t="s">
        <v>266</v>
      </c>
      <c r="AE56" s="303" t="s">
        <v>266</v>
      </c>
      <c r="AF56" s="303" t="s">
        <v>266</v>
      </c>
      <c r="AG56" s="303" t="s">
        <v>266</v>
      </c>
      <c r="AH56" s="303" t="s">
        <v>366</v>
      </c>
      <c r="AI56" s="303" t="s">
        <v>267</v>
      </c>
      <c r="AJ56" s="303" t="s">
        <v>365</v>
      </c>
      <c r="AK56" s="303" t="s">
        <v>366</v>
      </c>
      <c r="AL56" s="312" t="s">
        <v>266</v>
      </c>
      <c r="AM56" s="303" t="s">
        <v>266</v>
      </c>
      <c r="AN56" s="303" t="s">
        <v>266</v>
      </c>
      <c r="AO56" s="303" t="s">
        <v>266</v>
      </c>
      <c r="AP56" s="303" t="s">
        <v>266</v>
      </c>
      <c r="AQ56" s="303" t="s">
        <v>266</v>
      </c>
      <c r="AR56" s="303" t="s">
        <v>266</v>
      </c>
      <c r="AS56" s="313">
        <f t="shared" si="2"/>
        <v>0.83333333333333337</v>
      </c>
      <c r="AT56" s="303" t="s">
        <v>366</v>
      </c>
      <c r="AU56" s="303" t="s">
        <v>366</v>
      </c>
      <c r="AV56" s="313">
        <f t="shared" si="3"/>
        <v>0</v>
      </c>
      <c r="AW56" s="329">
        <f t="shared" si="4"/>
        <v>0.36111111111111116</v>
      </c>
    </row>
    <row r="57" spans="3:49" s="302" customFormat="1" ht="18.75" customHeight="1" x14ac:dyDescent="0.3">
      <c r="C57" s="47" t="s">
        <v>10</v>
      </c>
      <c r="D57" s="47" t="s">
        <v>284</v>
      </c>
      <c r="E57" s="47" t="s">
        <v>314</v>
      </c>
      <c r="F57" s="47" t="s">
        <v>88</v>
      </c>
      <c r="G57" s="47" t="s">
        <v>95</v>
      </c>
      <c r="H57" s="47">
        <v>10</v>
      </c>
      <c r="I57" s="48" t="s">
        <v>262</v>
      </c>
      <c r="J57" s="77">
        <v>116661</v>
      </c>
      <c r="K57" s="62" t="s">
        <v>13</v>
      </c>
      <c r="L57" s="303" t="s">
        <v>267</v>
      </c>
      <c r="M57" s="303" t="s">
        <v>267</v>
      </c>
      <c r="N57" s="303" t="s">
        <v>266</v>
      </c>
      <c r="O57" s="303" t="s">
        <v>267</v>
      </c>
      <c r="P57" s="303" t="s">
        <v>366</v>
      </c>
      <c r="Q57" s="313">
        <f t="shared" si="0"/>
        <v>0.8</v>
      </c>
      <c r="R57" s="303" t="s">
        <v>267</v>
      </c>
      <c r="S57" s="303" t="s">
        <v>267</v>
      </c>
      <c r="T57" s="303" t="s">
        <v>267</v>
      </c>
      <c r="U57" s="303" t="s">
        <v>266</v>
      </c>
      <c r="V57" s="311" t="s">
        <v>367</v>
      </c>
      <c r="W57" s="303" t="s">
        <v>267</v>
      </c>
      <c r="X57" s="304" t="s">
        <v>267</v>
      </c>
      <c r="Y57" s="303" t="s">
        <v>366</v>
      </c>
      <c r="Z57" s="176" t="s">
        <v>266</v>
      </c>
      <c r="AA57" s="303" t="s">
        <v>365</v>
      </c>
      <c r="AB57" s="303" t="s">
        <v>366</v>
      </c>
      <c r="AC57" s="313">
        <f t="shared" si="1"/>
        <v>0.83333333333333337</v>
      </c>
      <c r="AD57" s="303" t="s">
        <v>267</v>
      </c>
      <c r="AE57" s="303" t="s">
        <v>267</v>
      </c>
      <c r="AF57" s="303" t="s">
        <v>267</v>
      </c>
      <c r="AG57" s="303" t="s">
        <v>267</v>
      </c>
      <c r="AH57" s="303" t="s">
        <v>365</v>
      </c>
      <c r="AI57" s="303" t="s">
        <v>267</v>
      </c>
      <c r="AJ57" s="303" t="s">
        <v>365</v>
      </c>
      <c r="AK57" s="303" t="s">
        <v>366</v>
      </c>
      <c r="AL57" s="312" t="s">
        <v>266</v>
      </c>
      <c r="AM57" s="303" t="s">
        <v>266</v>
      </c>
      <c r="AN57" s="303" t="s">
        <v>266</v>
      </c>
      <c r="AO57" s="303" t="s">
        <v>266</v>
      </c>
      <c r="AP57" s="303" t="s">
        <v>266</v>
      </c>
      <c r="AQ57" s="303" t="s">
        <v>266</v>
      </c>
      <c r="AR57" s="303" t="s">
        <v>266</v>
      </c>
      <c r="AS57" s="313">
        <f t="shared" si="2"/>
        <v>0.8666666666666667</v>
      </c>
      <c r="AT57" s="303" t="s">
        <v>267</v>
      </c>
      <c r="AU57" s="303" t="s">
        <v>266</v>
      </c>
      <c r="AV57" s="313">
        <f t="shared" si="3"/>
        <v>1</v>
      </c>
      <c r="AW57" s="329">
        <f t="shared" si="4"/>
        <v>0.875</v>
      </c>
    </row>
    <row r="58" spans="3:49" s="302" customFormat="1" ht="18.75" customHeight="1" x14ac:dyDescent="0.3">
      <c r="C58" s="47" t="s">
        <v>10</v>
      </c>
      <c r="D58" s="47" t="s">
        <v>278</v>
      </c>
      <c r="E58" s="47" t="s">
        <v>316</v>
      </c>
      <c r="F58" s="47" t="s">
        <v>88</v>
      </c>
      <c r="G58" s="47" t="s">
        <v>103</v>
      </c>
      <c r="H58" s="47">
        <v>10</v>
      </c>
      <c r="I58" s="48" t="s">
        <v>262</v>
      </c>
      <c r="J58" s="77">
        <v>91501</v>
      </c>
      <c r="K58" s="62" t="s">
        <v>13</v>
      </c>
      <c r="L58" s="303" t="s">
        <v>267</v>
      </c>
      <c r="M58" s="303" t="s">
        <v>267</v>
      </c>
      <c r="N58" s="303" t="s">
        <v>266</v>
      </c>
      <c r="O58" s="303" t="s">
        <v>267</v>
      </c>
      <c r="P58" s="303" t="s">
        <v>366</v>
      </c>
      <c r="Q58" s="313">
        <f t="shared" si="0"/>
        <v>0.8</v>
      </c>
      <c r="R58" s="303" t="s">
        <v>267</v>
      </c>
      <c r="S58" s="303" t="s">
        <v>365</v>
      </c>
      <c r="T58" s="303" t="s">
        <v>365</v>
      </c>
      <c r="U58" s="303" t="s">
        <v>267</v>
      </c>
      <c r="V58" s="303" t="s">
        <v>267</v>
      </c>
      <c r="W58" s="303" t="s">
        <v>267</v>
      </c>
      <c r="X58" s="304" t="s">
        <v>267</v>
      </c>
      <c r="Y58" s="303" t="s">
        <v>366</v>
      </c>
      <c r="Z58" s="176" t="s">
        <v>268</v>
      </c>
      <c r="AA58" s="303" t="s">
        <v>365</v>
      </c>
      <c r="AB58" s="303" t="s">
        <v>366</v>
      </c>
      <c r="AC58" s="313">
        <f t="shared" si="1"/>
        <v>0.72222222222222221</v>
      </c>
      <c r="AD58" s="303" t="s">
        <v>267</v>
      </c>
      <c r="AE58" s="303" t="s">
        <v>267</v>
      </c>
      <c r="AF58" s="303" t="s">
        <v>267</v>
      </c>
      <c r="AG58" s="303" t="s">
        <v>267</v>
      </c>
      <c r="AH58" s="303" t="s">
        <v>365</v>
      </c>
      <c r="AI58" s="303" t="s">
        <v>267</v>
      </c>
      <c r="AJ58" s="303" t="s">
        <v>365</v>
      </c>
      <c r="AK58" s="303" t="s">
        <v>366</v>
      </c>
      <c r="AL58" s="312" t="s">
        <v>266</v>
      </c>
      <c r="AM58" s="303" t="s">
        <v>266</v>
      </c>
      <c r="AN58" s="303" t="s">
        <v>266</v>
      </c>
      <c r="AO58" s="303" t="s">
        <v>266</v>
      </c>
      <c r="AP58" s="303" t="s">
        <v>266</v>
      </c>
      <c r="AQ58" s="303" t="s">
        <v>266</v>
      </c>
      <c r="AR58" s="303" t="s">
        <v>266</v>
      </c>
      <c r="AS58" s="313">
        <f t="shared" si="2"/>
        <v>0.8666666666666667</v>
      </c>
      <c r="AT58" s="303" t="s">
        <v>267</v>
      </c>
      <c r="AU58" s="303" t="s">
        <v>266</v>
      </c>
      <c r="AV58" s="313">
        <f t="shared" si="3"/>
        <v>1</v>
      </c>
      <c r="AW58" s="329">
        <f t="shared" si="4"/>
        <v>0.84722222222222221</v>
      </c>
    </row>
    <row r="59" spans="3:49" s="302" customFormat="1" ht="18.75" customHeight="1" x14ac:dyDescent="0.3">
      <c r="C59" s="47" t="s">
        <v>10</v>
      </c>
      <c r="D59" s="47" t="s">
        <v>278</v>
      </c>
      <c r="E59" s="47" t="s">
        <v>317</v>
      </c>
      <c r="F59" s="47" t="s">
        <v>100</v>
      </c>
      <c r="G59" s="47" t="s">
        <v>103</v>
      </c>
      <c r="H59" s="47">
        <v>10</v>
      </c>
      <c r="I59" s="48" t="s">
        <v>275</v>
      </c>
      <c r="J59" s="77">
        <v>101288</v>
      </c>
      <c r="K59" s="62" t="s">
        <v>16</v>
      </c>
      <c r="L59" s="303" t="s">
        <v>267</v>
      </c>
      <c r="M59" s="303" t="s">
        <v>366</v>
      </c>
      <c r="N59" s="303" t="s">
        <v>366</v>
      </c>
      <c r="O59" s="303" t="s">
        <v>366</v>
      </c>
      <c r="P59" s="303" t="s">
        <v>366</v>
      </c>
      <c r="Q59" s="313">
        <f t="shared" si="0"/>
        <v>0.2</v>
      </c>
      <c r="R59" s="303" t="s">
        <v>267</v>
      </c>
      <c r="S59" s="303" t="s">
        <v>267</v>
      </c>
      <c r="T59" s="303" t="s">
        <v>267</v>
      </c>
      <c r="U59" s="303" t="s">
        <v>266</v>
      </c>
      <c r="V59" s="311" t="s">
        <v>367</v>
      </c>
      <c r="W59" s="303" t="s">
        <v>267</v>
      </c>
      <c r="X59" s="304" t="s">
        <v>267</v>
      </c>
      <c r="Y59" s="303" t="s">
        <v>366</v>
      </c>
      <c r="Z59" s="176" t="s">
        <v>268</v>
      </c>
      <c r="AA59" s="303" t="s">
        <v>365</v>
      </c>
      <c r="AB59" s="303" t="s">
        <v>366</v>
      </c>
      <c r="AC59" s="313">
        <f t="shared" si="1"/>
        <v>0.72222222222222221</v>
      </c>
      <c r="AD59" s="303" t="s">
        <v>266</v>
      </c>
      <c r="AE59" s="303" t="s">
        <v>266</v>
      </c>
      <c r="AF59" s="303" t="s">
        <v>266</v>
      </c>
      <c r="AG59" s="303" t="s">
        <v>266</v>
      </c>
      <c r="AH59" s="303" t="s">
        <v>366</v>
      </c>
      <c r="AI59" s="303" t="s">
        <v>267</v>
      </c>
      <c r="AJ59" s="303" t="s">
        <v>365</v>
      </c>
      <c r="AK59" s="303" t="s">
        <v>366</v>
      </c>
      <c r="AL59" s="312" t="s">
        <v>266</v>
      </c>
      <c r="AM59" s="303" t="s">
        <v>266</v>
      </c>
      <c r="AN59" s="303" t="s">
        <v>266</v>
      </c>
      <c r="AO59" s="303" t="s">
        <v>266</v>
      </c>
      <c r="AP59" s="303" t="s">
        <v>266</v>
      </c>
      <c r="AQ59" s="303" t="s">
        <v>266</v>
      </c>
      <c r="AR59" s="303" t="s">
        <v>266</v>
      </c>
      <c r="AS59" s="313">
        <f t="shared" si="2"/>
        <v>0.83333333333333337</v>
      </c>
      <c r="AT59" s="303" t="s">
        <v>366</v>
      </c>
      <c r="AU59" s="303" t="s">
        <v>366</v>
      </c>
      <c r="AV59" s="313">
        <f t="shared" si="3"/>
        <v>0</v>
      </c>
      <c r="AW59" s="329">
        <f t="shared" si="4"/>
        <v>0.43888888888888888</v>
      </c>
    </row>
    <row r="60" spans="3:49" s="302" customFormat="1" ht="18.75" customHeight="1" x14ac:dyDescent="0.3">
      <c r="C60" s="47" t="s">
        <v>7</v>
      </c>
      <c r="D60" s="47" t="s">
        <v>287</v>
      </c>
      <c r="E60" s="47" t="s">
        <v>318</v>
      </c>
      <c r="F60" s="47" t="s">
        <v>100</v>
      </c>
      <c r="G60" s="47" t="s">
        <v>103</v>
      </c>
      <c r="H60" s="47">
        <v>10</v>
      </c>
      <c r="I60" s="306" t="s">
        <v>275</v>
      </c>
      <c r="J60" s="77">
        <v>91502</v>
      </c>
      <c r="K60" s="63" t="s">
        <v>13</v>
      </c>
      <c r="L60" s="303" t="s">
        <v>267</v>
      </c>
      <c r="M60" s="303" t="s">
        <v>366</v>
      </c>
      <c r="N60" s="303" t="s">
        <v>266</v>
      </c>
      <c r="O60" s="303" t="s">
        <v>366</v>
      </c>
      <c r="P60" s="303" t="s">
        <v>366</v>
      </c>
      <c r="Q60" s="313">
        <f t="shared" si="0"/>
        <v>0.4</v>
      </c>
      <c r="R60" s="303" t="s">
        <v>267</v>
      </c>
      <c r="S60" s="303" t="s">
        <v>267</v>
      </c>
      <c r="T60" s="303" t="s">
        <v>267</v>
      </c>
      <c r="U60" s="303" t="s">
        <v>266</v>
      </c>
      <c r="V60" s="311" t="s">
        <v>367</v>
      </c>
      <c r="W60" s="303" t="s">
        <v>366</v>
      </c>
      <c r="X60" s="303" t="s">
        <v>366</v>
      </c>
      <c r="Y60" s="303" t="s">
        <v>366</v>
      </c>
      <c r="Z60" s="176" t="s">
        <v>268</v>
      </c>
      <c r="AA60" s="303" t="s">
        <v>267</v>
      </c>
      <c r="AB60" s="303" t="s">
        <v>366</v>
      </c>
      <c r="AC60" s="313">
        <f t="shared" si="1"/>
        <v>0.55555555555555558</v>
      </c>
      <c r="AD60" s="303" t="s">
        <v>266</v>
      </c>
      <c r="AE60" s="303" t="s">
        <v>266</v>
      </c>
      <c r="AF60" s="303" t="s">
        <v>266</v>
      </c>
      <c r="AG60" s="303" t="s">
        <v>266</v>
      </c>
      <c r="AH60" s="303" t="s">
        <v>366</v>
      </c>
      <c r="AJ60" s="305" t="s">
        <v>366</v>
      </c>
      <c r="AK60" s="303" t="s">
        <v>366</v>
      </c>
      <c r="AL60" s="312" t="s">
        <v>266</v>
      </c>
      <c r="AM60" s="303" t="s">
        <v>266</v>
      </c>
      <c r="AN60" s="303" t="s">
        <v>266</v>
      </c>
      <c r="AO60" s="303" t="s">
        <v>266</v>
      </c>
      <c r="AP60" s="303" t="s">
        <v>266</v>
      </c>
      <c r="AQ60" s="303" t="s">
        <v>266</v>
      </c>
      <c r="AR60" s="303" t="s">
        <v>266</v>
      </c>
      <c r="AS60" s="313">
        <f t="shared" si="2"/>
        <v>0.73333333333333328</v>
      </c>
      <c r="AT60" s="303" t="s">
        <v>267</v>
      </c>
      <c r="AU60" s="303" t="s">
        <v>266</v>
      </c>
      <c r="AV60" s="313">
        <f t="shared" si="3"/>
        <v>1</v>
      </c>
      <c r="AW60" s="329">
        <f t="shared" si="4"/>
        <v>0.67222222222222228</v>
      </c>
    </row>
    <row r="61" spans="3:49" s="302" customFormat="1" ht="18.75" customHeight="1" x14ac:dyDescent="0.3">
      <c r="C61" s="47" t="s">
        <v>7</v>
      </c>
      <c r="D61" s="47" t="s">
        <v>289</v>
      </c>
      <c r="E61" s="47" t="s">
        <v>319</v>
      </c>
      <c r="F61" s="47" t="s">
        <v>100</v>
      </c>
      <c r="G61" s="47" t="s">
        <v>89</v>
      </c>
      <c r="H61" s="47">
        <v>10</v>
      </c>
      <c r="I61" s="306" t="s">
        <v>275</v>
      </c>
      <c r="J61" s="77">
        <v>107852</v>
      </c>
      <c r="K61" s="62" t="s">
        <v>16</v>
      </c>
      <c r="L61" s="303" t="s">
        <v>267</v>
      </c>
      <c r="M61" s="303" t="s">
        <v>366</v>
      </c>
      <c r="N61" s="303" t="s">
        <v>366</v>
      </c>
      <c r="O61" s="303" t="s">
        <v>366</v>
      </c>
      <c r="P61" s="303" t="s">
        <v>366</v>
      </c>
      <c r="Q61" s="313">
        <f t="shared" si="0"/>
        <v>0.2</v>
      </c>
      <c r="R61" s="303" t="s">
        <v>267</v>
      </c>
      <c r="S61" s="303" t="s">
        <v>267</v>
      </c>
      <c r="T61" s="303" t="s">
        <v>267</v>
      </c>
      <c r="U61" s="303" t="s">
        <v>266</v>
      </c>
      <c r="V61" s="311" t="s">
        <v>367</v>
      </c>
      <c r="W61" s="303" t="s">
        <v>366</v>
      </c>
      <c r="X61" s="303" t="s">
        <v>366</v>
      </c>
      <c r="Y61" s="303" t="s">
        <v>366</v>
      </c>
      <c r="Z61" s="176" t="s">
        <v>268</v>
      </c>
      <c r="AA61" s="303" t="s">
        <v>365</v>
      </c>
      <c r="AB61" s="303" t="s">
        <v>366</v>
      </c>
      <c r="AC61" s="313">
        <f t="shared" si="1"/>
        <v>0.5</v>
      </c>
      <c r="AD61" s="303" t="s">
        <v>266</v>
      </c>
      <c r="AE61" s="303" t="s">
        <v>266</v>
      </c>
      <c r="AF61" s="303" t="s">
        <v>266</v>
      </c>
      <c r="AG61" s="303" t="s">
        <v>266</v>
      </c>
      <c r="AH61" s="303" t="s">
        <v>366</v>
      </c>
      <c r="AI61" s="303" t="s">
        <v>366</v>
      </c>
      <c r="AJ61" s="305" t="s">
        <v>366</v>
      </c>
      <c r="AK61" s="303" t="s">
        <v>366</v>
      </c>
      <c r="AL61" s="312" t="s">
        <v>266</v>
      </c>
      <c r="AM61" s="303" t="s">
        <v>266</v>
      </c>
      <c r="AN61" s="303" t="s">
        <v>266</v>
      </c>
      <c r="AO61" s="303" t="s">
        <v>266</v>
      </c>
      <c r="AP61" s="303" t="s">
        <v>266</v>
      </c>
      <c r="AQ61" s="303" t="s">
        <v>266</v>
      </c>
      <c r="AR61" s="303" t="s">
        <v>266</v>
      </c>
      <c r="AS61" s="313">
        <f t="shared" si="2"/>
        <v>0.73333333333333328</v>
      </c>
      <c r="AT61" s="303" t="s">
        <v>366</v>
      </c>
      <c r="AU61" s="303" t="s">
        <v>366</v>
      </c>
      <c r="AV61" s="313">
        <f t="shared" si="3"/>
        <v>0</v>
      </c>
      <c r="AW61" s="329">
        <f t="shared" si="4"/>
        <v>0.35833333333333328</v>
      </c>
    </row>
    <row r="62" spans="3:49" s="302" customFormat="1" ht="18.75" customHeight="1" x14ac:dyDescent="0.3">
      <c r="C62" s="47" t="s">
        <v>7</v>
      </c>
      <c r="D62" s="47" t="s">
        <v>289</v>
      </c>
      <c r="E62" s="47" t="s">
        <v>290</v>
      </c>
      <c r="F62" s="47" t="s">
        <v>100</v>
      </c>
      <c r="G62" s="47" t="s">
        <v>89</v>
      </c>
      <c r="H62" s="47">
        <v>10</v>
      </c>
      <c r="I62" s="306" t="s">
        <v>265</v>
      </c>
      <c r="J62" s="77">
        <v>102630</v>
      </c>
      <c r="K62" s="64" t="s">
        <v>15</v>
      </c>
      <c r="L62" s="303" t="s">
        <v>267</v>
      </c>
      <c r="M62" s="303" t="s">
        <v>366</v>
      </c>
      <c r="N62" s="303" t="s">
        <v>366</v>
      </c>
      <c r="O62" s="303" t="s">
        <v>366</v>
      </c>
      <c r="P62" s="303" t="s">
        <v>366</v>
      </c>
      <c r="Q62" s="313">
        <f t="shared" si="0"/>
        <v>0.2</v>
      </c>
      <c r="R62" s="303" t="s">
        <v>267</v>
      </c>
      <c r="S62" s="303" t="s">
        <v>267</v>
      </c>
      <c r="T62" s="303" t="s">
        <v>267</v>
      </c>
      <c r="U62" s="303" t="s">
        <v>266</v>
      </c>
      <c r="V62" s="303" t="s">
        <v>267</v>
      </c>
      <c r="W62" s="303" t="s">
        <v>366</v>
      </c>
      <c r="X62" s="303" t="s">
        <v>366</v>
      </c>
      <c r="Y62" s="303" t="s">
        <v>366</v>
      </c>
      <c r="Z62" s="176" t="s">
        <v>268</v>
      </c>
      <c r="AA62" s="303" t="s">
        <v>365</v>
      </c>
      <c r="AB62" s="303" t="s">
        <v>366</v>
      </c>
      <c r="AC62" s="313">
        <f t="shared" si="1"/>
        <v>0.61111111111111116</v>
      </c>
      <c r="AD62" s="303" t="s">
        <v>266</v>
      </c>
      <c r="AE62" s="303" t="s">
        <v>266</v>
      </c>
      <c r="AF62" s="303" t="s">
        <v>266</v>
      </c>
      <c r="AG62" s="303" t="s">
        <v>266</v>
      </c>
      <c r="AH62" s="303" t="s">
        <v>366</v>
      </c>
      <c r="AI62" s="303" t="s">
        <v>366</v>
      </c>
      <c r="AJ62" s="305" t="s">
        <v>366</v>
      </c>
      <c r="AK62" s="303" t="s">
        <v>366</v>
      </c>
      <c r="AL62" s="303" t="s">
        <v>366</v>
      </c>
      <c r="AM62" s="303" t="s">
        <v>366</v>
      </c>
      <c r="AN62" s="303" t="s">
        <v>366</v>
      </c>
      <c r="AO62" s="303" t="s">
        <v>366</v>
      </c>
      <c r="AP62" s="303" t="s">
        <v>366</v>
      </c>
      <c r="AQ62" s="303" t="s">
        <v>366</v>
      </c>
      <c r="AR62" s="303" t="s">
        <v>366</v>
      </c>
      <c r="AS62" s="313">
        <f t="shared" si="2"/>
        <v>0.26666666666666666</v>
      </c>
      <c r="AT62" s="303" t="s">
        <v>366</v>
      </c>
      <c r="AU62" s="303" t="s">
        <v>366</v>
      </c>
      <c r="AV62" s="313">
        <f t="shared" si="3"/>
        <v>0</v>
      </c>
      <c r="AW62" s="329">
        <f t="shared" si="4"/>
        <v>0.26944444444444443</v>
      </c>
    </row>
    <row r="63" spans="3:49" s="302" customFormat="1" ht="18.75" customHeight="1" x14ac:dyDescent="0.3">
      <c r="C63" s="47" t="s">
        <v>4</v>
      </c>
      <c r="D63" s="47" t="s">
        <v>263</v>
      </c>
      <c r="E63" s="47" t="s">
        <v>46</v>
      </c>
      <c r="F63" s="47" t="s">
        <v>88</v>
      </c>
      <c r="G63" s="47" t="s">
        <v>89</v>
      </c>
      <c r="H63" s="47">
        <v>10</v>
      </c>
      <c r="I63" s="47" t="s">
        <v>262</v>
      </c>
      <c r="J63" s="77">
        <v>109274</v>
      </c>
      <c r="K63" s="62" t="s">
        <v>16</v>
      </c>
      <c r="L63" s="303" t="s">
        <v>267</v>
      </c>
      <c r="M63" s="303" t="s">
        <v>366</v>
      </c>
      <c r="N63" s="303" t="s">
        <v>366</v>
      </c>
      <c r="O63" s="303" t="s">
        <v>366</v>
      </c>
      <c r="P63" s="303" t="s">
        <v>366</v>
      </c>
      <c r="Q63" s="313">
        <f t="shared" si="0"/>
        <v>0.2</v>
      </c>
      <c r="R63" s="303" t="s">
        <v>267</v>
      </c>
      <c r="S63" s="303" t="s">
        <v>267</v>
      </c>
      <c r="T63" s="303" t="s">
        <v>267</v>
      </c>
      <c r="U63" s="303" t="s">
        <v>267</v>
      </c>
      <c r="V63" s="303" t="s">
        <v>267</v>
      </c>
      <c r="W63" s="303" t="s">
        <v>267</v>
      </c>
      <c r="X63" s="304" t="s">
        <v>267</v>
      </c>
      <c r="Y63" s="303" t="s">
        <v>366</v>
      </c>
      <c r="Z63" s="176" t="s">
        <v>268</v>
      </c>
      <c r="AA63" s="303" t="s">
        <v>365</v>
      </c>
      <c r="AB63" s="303" t="s">
        <v>366</v>
      </c>
      <c r="AC63" s="313">
        <f t="shared" si="1"/>
        <v>0.83333333333333337</v>
      </c>
      <c r="AD63" s="303" t="s">
        <v>366</v>
      </c>
      <c r="AE63" s="303" t="s">
        <v>366</v>
      </c>
      <c r="AF63" s="303" t="s">
        <v>366</v>
      </c>
      <c r="AG63" s="303" t="s">
        <v>366</v>
      </c>
      <c r="AH63" s="303" t="s">
        <v>366</v>
      </c>
      <c r="AI63" s="303" t="s">
        <v>366</v>
      </c>
      <c r="AJ63" s="305" t="s">
        <v>366</v>
      </c>
      <c r="AK63" s="303" t="s">
        <v>366</v>
      </c>
      <c r="AL63" s="312" t="s">
        <v>266</v>
      </c>
      <c r="AM63" s="303" t="s">
        <v>266</v>
      </c>
      <c r="AN63" s="303" t="s">
        <v>266</v>
      </c>
      <c r="AO63" s="303" t="s">
        <v>266</v>
      </c>
      <c r="AP63" s="303" t="s">
        <v>266</v>
      </c>
      <c r="AQ63" s="303" t="s">
        <v>266</v>
      </c>
      <c r="AR63" s="303" t="s">
        <v>266</v>
      </c>
      <c r="AS63" s="313">
        <f t="shared" si="2"/>
        <v>0.46666666666666667</v>
      </c>
      <c r="AT63" s="303" t="s">
        <v>366</v>
      </c>
      <c r="AU63" s="303" t="s">
        <v>366</v>
      </c>
      <c r="AV63" s="313">
        <f t="shared" si="3"/>
        <v>0</v>
      </c>
      <c r="AW63" s="329">
        <f t="shared" si="4"/>
        <v>0.375</v>
      </c>
    </row>
    <row r="64" spans="3:49" s="302" customFormat="1" ht="18.75" customHeight="1" x14ac:dyDescent="0.3">
      <c r="C64" s="47" t="s">
        <v>4</v>
      </c>
      <c r="D64" s="47" t="s">
        <v>269</v>
      </c>
      <c r="E64" s="47" t="s">
        <v>320</v>
      </c>
      <c r="F64" s="47" t="s">
        <v>100</v>
      </c>
      <c r="G64" s="47" t="s">
        <v>95</v>
      </c>
      <c r="H64" s="47">
        <v>10</v>
      </c>
      <c r="I64" s="51" t="s">
        <v>275</v>
      </c>
      <c r="J64" s="77">
        <v>111589</v>
      </c>
      <c r="K64" s="64" t="s">
        <v>13</v>
      </c>
      <c r="L64" s="303" t="s">
        <v>267</v>
      </c>
      <c r="M64" s="303" t="s">
        <v>366</v>
      </c>
      <c r="N64" s="303" t="s">
        <v>266</v>
      </c>
      <c r="O64" s="303" t="s">
        <v>366</v>
      </c>
      <c r="P64" s="303" t="s">
        <v>366</v>
      </c>
      <c r="Q64" s="313">
        <f t="shared" si="0"/>
        <v>0.4</v>
      </c>
      <c r="R64" s="303" t="s">
        <v>267</v>
      </c>
      <c r="S64" s="303" t="s">
        <v>267</v>
      </c>
      <c r="T64" s="303" t="s">
        <v>267</v>
      </c>
      <c r="U64" s="303" t="s">
        <v>266</v>
      </c>
      <c r="V64" s="303" t="s">
        <v>267</v>
      </c>
      <c r="W64" s="303" t="s">
        <v>267</v>
      </c>
      <c r="X64" s="304" t="s">
        <v>267</v>
      </c>
      <c r="Y64" s="303" t="s">
        <v>366</v>
      </c>
      <c r="Z64" s="176" t="s">
        <v>272</v>
      </c>
      <c r="AA64" s="303" t="s">
        <v>365</v>
      </c>
      <c r="AB64" s="303" t="s">
        <v>366</v>
      </c>
      <c r="AC64" s="313">
        <f t="shared" si="1"/>
        <v>0.83333333333333337</v>
      </c>
      <c r="AD64" s="303" t="s">
        <v>266</v>
      </c>
      <c r="AE64" s="303" t="s">
        <v>266</v>
      </c>
      <c r="AF64" s="303" t="s">
        <v>266</v>
      </c>
      <c r="AG64" s="303" t="s">
        <v>266</v>
      </c>
      <c r="AH64" s="303" t="s">
        <v>366</v>
      </c>
      <c r="AI64" s="303" t="s">
        <v>267</v>
      </c>
      <c r="AJ64" s="305" t="s">
        <v>366</v>
      </c>
      <c r="AK64" s="303" t="s">
        <v>366</v>
      </c>
      <c r="AL64" s="312" t="s">
        <v>266</v>
      </c>
      <c r="AM64" s="303" t="s">
        <v>266</v>
      </c>
      <c r="AN64" s="303" t="s">
        <v>266</v>
      </c>
      <c r="AO64" s="303" t="s">
        <v>266</v>
      </c>
      <c r="AP64" s="303" t="s">
        <v>266</v>
      </c>
      <c r="AQ64" s="303" t="s">
        <v>266</v>
      </c>
      <c r="AR64" s="303" t="s">
        <v>266</v>
      </c>
      <c r="AS64" s="313">
        <f t="shared" si="2"/>
        <v>0.8</v>
      </c>
      <c r="AT64" s="303" t="s">
        <v>267</v>
      </c>
      <c r="AU64" s="303" t="s">
        <v>266</v>
      </c>
      <c r="AV64" s="313">
        <f t="shared" si="3"/>
        <v>1</v>
      </c>
      <c r="AW64" s="329">
        <f t="shared" si="4"/>
        <v>0.7583333333333333</v>
      </c>
    </row>
    <row r="65" spans="3:49" s="76" customFormat="1" ht="18.75" customHeight="1" x14ac:dyDescent="0.3">
      <c r="C65" s="47" t="s">
        <v>4</v>
      </c>
      <c r="D65" s="47" t="s">
        <v>293</v>
      </c>
      <c r="E65" s="47" t="s">
        <v>321</v>
      </c>
      <c r="F65" s="47" t="s">
        <v>88</v>
      </c>
      <c r="G65" s="47" t="s">
        <v>89</v>
      </c>
      <c r="H65" s="47">
        <v>10</v>
      </c>
      <c r="I65" s="51" t="s">
        <v>262</v>
      </c>
      <c r="J65" s="77">
        <v>101660</v>
      </c>
      <c r="K65" s="64" t="s">
        <v>15</v>
      </c>
      <c r="L65" s="303" t="s">
        <v>267</v>
      </c>
      <c r="M65" s="303" t="s">
        <v>267</v>
      </c>
      <c r="N65" s="303" t="s">
        <v>365</v>
      </c>
      <c r="O65" s="303" t="s">
        <v>267</v>
      </c>
      <c r="P65" s="303" t="s">
        <v>366</v>
      </c>
      <c r="Q65" s="313">
        <f t="shared" si="0"/>
        <v>0.7</v>
      </c>
      <c r="R65" s="303" t="s">
        <v>267</v>
      </c>
      <c r="S65" s="303" t="s">
        <v>267</v>
      </c>
      <c r="T65" s="303" t="s">
        <v>267</v>
      </c>
      <c r="U65" s="303" t="s">
        <v>267</v>
      </c>
      <c r="V65" s="303" t="s">
        <v>267</v>
      </c>
      <c r="W65" s="303" t="s">
        <v>267</v>
      </c>
      <c r="X65" s="308" t="s">
        <v>267</v>
      </c>
      <c r="Y65" s="303" t="s">
        <v>366</v>
      </c>
      <c r="Z65" s="176" t="s">
        <v>268</v>
      </c>
      <c r="AA65" s="303" t="s">
        <v>365</v>
      </c>
      <c r="AB65" s="303" t="s">
        <v>366</v>
      </c>
      <c r="AC65" s="313">
        <f t="shared" si="1"/>
        <v>0.83333333333333337</v>
      </c>
      <c r="AD65" s="303" t="s">
        <v>267</v>
      </c>
      <c r="AE65" s="303" t="s">
        <v>267</v>
      </c>
      <c r="AF65" s="303" t="s">
        <v>365</v>
      </c>
      <c r="AG65" s="303" t="s">
        <v>366</v>
      </c>
      <c r="AH65" s="303" t="s">
        <v>366</v>
      </c>
      <c r="AI65" s="303" t="s">
        <v>267</v>
      </c>
      <c r="AJ65" s="303" t="s">
        <v>267</v>
      </c>
      <c r="AK65" s="303" t="s">
        <v>365</v>
      </c>
      <c r="AL65" s="303" t="s">
        <v>365</v>
      </c>
      <c r="AM65" s="303" t="s">
        <v>365</v>
      </c>
      <c r="AN65" s="303" t="s">
        <v>365</v>
      </c>
      <c r="AO65" s="303" t="s">
        <v>365</v>
      </c>
      <c r="AP65" s="303" t="s">
        <v>366</v>
      </c>
      <c r="AQ65" s="303" t="s">
        <v>366</v>
      </c>
      <c r="AR65" s="303" t="s">
        <v>366</v>
      </c>
      <c r="AS65" s="313">
        <f t="shared" si="2"/>
        <v>0.46666666666666667</v>
      </c>
      <c r="AT65" s="303" t="s">
        <v>366</v>
      </c>
      <c r="AU65" s="303" t="s">
        <v>366</v>
      </c>
      <c r="AV65" s="313">
        <f t="shared" si="3"/>
        <v>0</v>
      </c>
      <c r="AW65" s="329">
        <f t="shared" si="4"/>
        <v>0.5</v>
      </c>
    </row>
    <row r="66" spans="3:49" s="302" customFormat="1" ht="18.75" customHeight="1" x14ac:dyDescent="0.3">
      <c r="C66" s="47" t="s">
        <v>4</v>
      </c>
      <c r="D66" s="47" t="s">
        <v>303</v>
      </c>
      <c r="E66" s="47" t="s">
        <v>322</v>
      </c>
      <c r="F66" s="47" t="s">
        <v>88</v>
      </c>
      <c r="G66" s="47" t="s">
        <v>95</v>
      </c>
      <c r="H66" s="47">
        <v>10</v>
      </c>
      <c r="I66" s="51" t="s">
        <v>262</v>
      </c>
      <c r="J66" s="77">
        <v>110642</v>
      </c>
      <c r="K66" s="64" t="s">
        <v>13</v>
      </c>
      <c r="L66" s="303" t="s">
        <v>267</v>
      </c>
      <c r="M66" s="303" t="s">
        <v>267</v>
      </c>
      <c r="N66" s="303" t="s">
        <v>266</v>
      </c>
      <c r="O66" s="303" t="s">
        <v>267</v>
      </c>
      <c r="P66" s="303" t="s">
        <v>366</v>
      </c>
      <c r="Q66" s="313">
        <f t="shared" si="0"/>
        <v>0.8</v>
      </c>
      <c r="R66" s="303" t="s">
        <v>267</v>
      </c>
      <c r="S66" s="303" t="s">
        <v>267</v>
      </c>
      <c r="T66" s="303" t="s">
        <v>267</v>
      </c>
      <c r="U66" s="303" t="s">
        <v>267</v>
      </c>
      <c r="V66" s="303" t="s">
        <v>267</v>
      </c>
      <c r="W66" s="303" t="s">
        <v>267</v>
      </c>
      <c r="X66" s="304" t="s">
        <v>267</v>
      </c>
      <c r="Y66" s="303" t="s">
        <v>366</v>
      </c>
      <c r="Z66" s="176" t="s">
        <v>266</v>
      </c>
      <c r="AA66" s="303" t="s">
        <v>365</v>
      </c>
      <c r="AB66" s="303" t="s">
        <v>366</v>
      </c>
      <c r="AC66" s="313">
        <f t="shared" si="1"/>
        <v>0.94444444444444442</v>
      </c>
      <c r="AD66" s="303" t="s">
        <v>267</v>
      </c>
      <c r="AE66" s="303" t="s">
        <v>267</v>
      </c>
      <c r="AF66" s="303" t="s">
        <v>365</v>
      </c>
      <c r="AG66" s="303" t="s">
        <v>365</v>
      </c>
      <c r="AH66" s="303" t="s">
        <v>366</v>
      </c>
      <c r="AI66" s="303" t="s">
        <v>267</v>
      </c>
      <c r="AJ66" s="305" t="s">
        <v>366</v>
      </c>
      <c r="AK66" s="303" t="s">
        <v>366</v>
      </c>
      <c r="AL66" s="312" t="s">
        <v>266</v>
      </c>
      <c r="AM66" s="303" t="s">
        <v>266</v>
      </c>
      <c r="AN66" s="303" t="s">
        <v>266</v>
      </c>
      <c r="AO66" s="303" t="s">
        <v>266</v>
      </c>
      <c r="AP66" s="303" t="s">
        <v>266</v>
      </c>
      <c r="AQ66" s="303" t="s">
        <v>266</v>
      </c>
      <c r="AR66" s="303" t="s">
        <v>266</v>
      </c>
      <c r="AS66" s="313">
        <f t="shared" si="2"/>
        <v>0.73333333333333328</v>
      </c>
      <c r="AT66" s="303" t="s">
        <v>267</v>
      </c>
      <c r="AU66" s="303" t="s">
        <v>266</v>
      </c>
      <c r="AV66" s="313">
        <f t="shared" si="3"/>
        <v>1</v>
      </c>
      <c r="AW66" s="329">
        <f t="shared" si="4"/>
        <v>0.86944444444444446</v>
      </c>
    </row>
    <row r="67" spans="3:49" s="302" customFormat="1" ht="18.75" customHeight="1" x14ac:dyDescent="0.3">
      <c r="C67" s="47" t="s">
        <v>7</v>
      </c>
      <c r="D67" s="47" t="s">
        <v>287</v>
      </c>
      <c r="E67" s="47" t="s">
        <v>323</v>
      </c>
      <c r="F67" s="47" t="s">
        <v>100</v>
      </c>
      <c r="G67" s="47" t="s">
        <v>103</v>
      </c>
      <c r="H67" s="47">
        <v>10</v>
      </c>
      <c r="I67" s="306" t="s">
        <v>275</v>
      </c>
      <c r="J67" s="77">
        <v>3208</v>
      </c>
      <c r="K67" s="65" t="s">
        <v>13</v>
      </c>
      <c r="L67" s="303" t="s">
        <v>366</v>
      </c>
      <c r="M67" s="303" t="s">
        <v>366</v>
      </c>
      <c r="N67" s="303" t="s">
        <v>266</v>
      </c>
      <c r="O67" s="303" t="s">
        <v>366</v>
      </c>
      <c r="P67" s="303" t="s">
        <v>366</v>
      </c>
      <c r="Q67" s="313">
        <f t="shared" si="0"/>
        <v>0.2</v>
      </c>
      <c r="R67" s="303" t="s">
        <v>366</v>
      </c>
      <c r="S67" s="303" t="s">
        <v>365</v>
      </c>
      <c r="T67" s="303" t="s">
        <v>365</v>
      </c>
      <c r="U67" s="303" t="s">
        <v>266</v>
      </c>
      <c r="V67" s="303" t="s">
        <v>267</v>
      </c>
      <c r="W67" s="303" t="s">
        <v>366</v>
      </c>
      <c r="X67" s="303" t="s">
        <v>366</v>
      </c>
      <c r="Y67" s="303" t="s">
        <v>366</v>
      </c>
      <c r="Z67" s="176" t="s">
        <v>272</v>
      </c>
      <c r="AA67" s="303" t="s">
        <v>365</v>
      </c>
      <c r="AB67" s="303" t="s">
        <v>366</v>
      </c>
      <c r="AC67" s="313">
        <f t="shared" si="1"/>
        <v>0.3888888888888889</v>
      </c>
      <c r="AD67" s="303" t="s">
        <v>266</v>
      </c>
      <c r="AE67" s="303" t="s">
        <v>266</v>
      </c>
      <c r="AF67" s="303" t="s">
        <v>266</v>
      </c>
      <c r="AG67" s="303" t="s">
        <v>266</v>
      </c>
      <c r="AH67" s="303" t="s">
        <v>366</v>
      </c>
      <c r="AI67" s="303" t="s">
        <v>366</v>
      </c>
      <c r="AJ67" s="305" t="s">
        <v>366</v>
      </c>
      <c r="AK67" s="303" t="s">
        <v>366</v>
      </c>
      <c r="AL67" s="312" t="s">
        <v>266</v>
      </c>
      <c r="AM67" s="303" t="s">
        <v>266</v>
      </c>
      <c r="AN67" s="303" t="s">
        <v>266</v>
      </c>
      <c r="AO67" s="303" t="s">
        <v>266</v>
      </c>
      <c r="AP67" s="303" t="s">
        <v>266</v>
      </c>
      <c r="AQ67" s="303" t="s">
        <v>266</v>
      </c>
      <c r="AR67" s="303" t="s">
        <v>266</v>
      </c>
      <c r="AS67" s="313">
        <f t="shared" si="2"/>
        <v>0.73333333333333328</v>
      </c>
      <c r="AT67" s="303" t="s">
        <v>366</v>
      </c>
      <c r="AU67" s="303" t="s">
        <v>366</v>
      </c>
      <c r="AV67" s="313">
        <f t="shared" si="3"/>
        <v>0</v>
      </c>
      <c r="AW67" s="329">
        <f t="shared" si="4"/>
        <v>0.33055555555555555</v>
      </c>
    </row>
    <row r="68" spans="3:49" s="302" customFormat="1" ht="18.75" customHeight="1" x14ac:dyDescent="0.3">
      <c r="C68" s="47" t="s">
        <v>4</v>
      </c>
      <c r="D68" s="47" t="s">
        <v>269</v>
      </c>
      <c r="E68" s="47" t="s">
        <v>324</v>
      </c>
      <c r="F68" s="47" t="s">
        <v>100</v>
      </c>
      <c r="G68" s="47" t="s">
        <v>103</v>
      </c>
      <c r="H68" s="47">
        <v>10</v>
      </c>
      <c r="I68" s="51" t="s">
        <v>275</v>
      </c>
      <c r="J68" s="77">
        <v>103681</v>
      </c>
      <c r="K68" s="62" t="s">
        <v>16</v>
      </c>
      <c r="L68" s="303" t="s">
        <v>366</v>
      </c>
      <c r="M68" s="303" t="s">
        <v>366</v>
      </c>
      <c r="N68" s="303" t="s">
        <v>366</v>
      </c>
      <c r="O68" s="303" t="s">
        <v>366</v>
      </c>
      <c r="P68" s="303" t="s">
        <v>366</v>
      </c>
      <c r="Q68" s="313">
        <f t="shared" si="0"/>
        <v>0</v>
      </c>
      <c r="R68" s="303" t="s">
        <v>366</v>
      </c>
      <c r="S68" s="303" t="s">
        <v>365</v>
      </c>
      <c r="T68" s="303" t="s">
        <v>365</v>
      </c>
      <c r="U68" s="303" t="s">
        <v>266</v>
      </c>
      <c r="V68" s="311" t="s">
        <v>367</v>
      </c>
      <c r="W68" s="303" t="s">
        <v>267</v>
      </c>
      <c r="X68" s="304" t="s">
        <v>267</v>
      </c>
      <c r="Y68" s="303" t="s">
        <v>366</v>
      </c>
      <c r="Z68" s="176" t="s">
        <v>272</v>
      </c>
      <c r="AA68" s="303" t="s">
        <v>365</v>
      </c>
      <c r="AB68" s="303" t="s">
        <v>366</v>
      </c>
      <c r="AC68" s="313">
        <f t="shared" si="1"/>
        <v>0.5</v>
      </c>
      <c r="AD68" s="303" t="s">
        <v>266</v>
      </c>
      <c r="AE68" s="303" t="s">
        <v>266</v>
      </c>
      <c r="AF68" s="303" t="s">
        <v>266</v>
      </c>
      <c r="AG68" s="303" t="s">
        <v>266</v>
      </c>
      <c r="AH68" s="303" t="s">
        <v>366</v>
      </c>
      <c r="AI68" s="303" t="s">
        <v>267</v>
      </c>
      <c r="AJ68" s="305" t="s">
        <v>366</v>
      </c>
      <c r="AK68" s="303" t="s">
        <v>366</v>
      </c>
      <c r="AL68" s="312" t="s">
        <v>266</v>
      </c>
      <c r="AM68" s="303" t="s">
        <v>266</v>
      </c>
      <c r="AN68" s="303" t="s">
        <v>266</v>
      </c>
      <c r="AO68" s="303" t="s">
        <v>266</v>
      </c>
      <c r="AP68" s="303" t="s">
        <v>266</v>
      </c>
      <c r="AQ68" s="303" t="s">
        <v>266</v>
      </c>
      <c r="AR68" s="303" t="s">
        <v>266</v>
      </c>
      <c r="AS68" s="313">
        <f t="shared" si="2"/>
        <v>0.8</v>
      </c>
      <c r="AT68" s="303" t="s">
        <v>366</v>
      </c>
      <c r="AU68" s="303" t="s">
        <v>366</v>
      </c>
      <c r="AV68" s="313">
        <f t="shared" si="3"/>
        <v>0</v>
      </c>
      <c r="AW68" s="329">
        <f t="shared" si="4"/>
        <v>0.32500000000000001</v>
      </c>
    </row>
    <row r="69" spans="3:49" s="302" customFormat="1" ht="18.75" customHeight="1" x14ac:dyDescent="0.3">
      <c r="C69" s="47" t="s">
        <v>4</v>
      </c>
      <c r="D69" s="47" t="s">
        <v>260</v>
      </c>
      <c r="E69" s="47" t="s">
        <v>261</v>
      </c>
      <c r="F69" s="47" t="s">
        <v>100</v>
      </c>
      <c r="G69" s="47" t="s">
        <v>103</v>
      </c>
      <c r="H69" s="47">
        <v>10</v>
      </c>
      <c r="I69" s="51" t="s">
        <v>275</v>
      </c>
      <c r="J69" s="77">
        <v>3207</v>
      </c>
      <c r="K69" s="64" t="s">
        <v>15</v>
      </c>
      <c r="L69" s="303" t="s">
        <v>366</v>
      </c>
      <c r="M69" s="303" t="s">
        <v>366</v>
      </c>
      <c r="N69" s="312" t="s">
        <v>266</v>
      </c>
      <c r="O69" s="303" t="s">
        <v>366</v>
      </c>
      <c r="P69" s="303" t="s">
        <v>366</v>
      </c>
      <c r="Q69" s="313">
        <f t="shared" si="0"/>
        <v>0.2</v>
      </c>
      <c r="R69" s="303" t="s">
        <v>366</v>
      </c>
      <c r="S69" s="303" t="s">
        <v>366</v>
      </c>
      <c r="T69" s="303" t="s">
        <v>366</v>
      </c>
      <c r="U69" s="310"/>
      <c r="V69" s="311" t="s">
        <v>367</v>
      </c>
      <c r="W69" s="311" t="s">
        <v>367</v>
      </c>
      <c r="X69" s="304" t="s">
        <v>271</v>
      </c>
      <c r="Y69" s="303" t="s">
        <v>366</v>
      </c>
      <c r="Z69" s="176" t="s">
        <v>272</v>
      </c>
      <c r="AA69" s="303" t="s">
        <v>365</v>
      </c>
      <c r="AB69" s="303" t="s">
        <v>366</v>
      </c>
      <c r="AC69" s="313">
        <f t="shared" si="1"/>
        <v>5.5555555555555552E-2</v>
      </c>
      <c r="AD69" s="303" t="s">
        <v>266</v>
      </c>
      <c r="AE69" s="303" t="s">
        <v>266</v>
      </c>
      <c r="AF69" s="303" t="s">
        <v>266</v>
      </c>
      <c r="AG69" s="303" t="s">
        <v>266</v>
      </c>
      <c r="AH69" s="303" t="s">
        <v>366</v>
      </c>
      <c r="AI69" s="303" t="s">
        <v>366</v>
      </c>
      <c r="AJ69" s="305" t="s">
        <v>366</v>
      </c>
      <c r="AK69" s="303" t="s">
        <v>366</v>
      </c>
      <c r="AL69" s="312" t="s">
        <v>266</v>
      </c>
      <c r="AM69" s="303" t="s">
        <v>266</v>
      </c>
      <c r="AN69" s="303" t="s">
        <v>266</v>
      </c>
      <c r="AO69" s="303" t="s">
        <v>266</v>
      </c>
      <c r="AP69" s="303" t="s">
        <v>266</v>
      </c>
      <c r="AQ69" s="303" t="s">
        <v>266</v>
      </c>
      <c r="AR69" s="303" t="s">
        <v>266</v>
      </c>
      <c r="AS69" s="313">
        <f t="shared" si="2"/>
        <v>0.73333333333333328</v>
      </c>
      <c r="AT69" s="303" t="s">
        <v>366</v>
      </c>
      <c r="AU69" s="303" t="s">
        <v>366</v>
      </c>
      <c r="AV69" s="313">
        <f t="shared" si="3"/>
        <v>0</v>
      </c>
      <c r="AW69" s="329">
        <f t="shared" si="4"/>
        <v>0.2472222222222222</v>
      </c>
    </row>
    <row r="70" spans="3:49" s="302" customFormat="1" ht="18.75" customHeight="1" x14ac:dyDescent="0.3">
      <c r="C70" s="47" t="s">
        <v>4</v>
      </c>
      <c r="D70" s="47" t="s">
        <v>293</v>
      </c>
      <c r="E70" s="47" t="s">
        <v>325</v>
      </c>
      <c r="F70" s="47" t="s">
        <v>88</v>
      </c>
      <c r="G70" s="47" t="s">
        <v>95</v>
      </c>
      <c r="H70" s="47">
        <v>10</v>
      </c>
      <c r="I70" s="51" t="s">
        <v>262</v>
      </c>
      <c r="J70" s="77">
        <v>110425</v>
      </c>
      <c r="K70" s="62" t="s">
        <v>16</v>
      </c>
      <c r="L70" s="303" t="s">
        <v>267</v>
      </c>
      <c r="M70" s="303" t="s">
        <v>267</v>
      </c>
      <c r="N70" s="303"/>
      <c r="O70" s="303" t="s">
        <v>366</v>
      </c>
      <c r="P70" s="303" t="s">
        <v>366</v>
      </c>
      <c r="Q70" s="313">
        <f t="shared" si="0"/>
        <v>0.4</v>
      </c>
      <c r="R70" s="303" t="s">
        <v>267</v>
      </c>
      <c r="S70" s="303" t="s">
        <v>267</v>
      </c>
      <c r="T70" s="303" t="s">
        <v>267</v>
      </c>
      <c r="U70" s="303" t="s">
        <v>267</v>
      </c>
      <c r="V70" s="303" t="s">
        <v>267</v>
      </c>
      <c r="W70" s="303" t="s">
        <v>267</v>
      </c>
      <c r="X70" s="304" t="s">
        <v>267</v>
      </c>
      <c r="Y70" s="303" t="s">
        <v>366</v>
      </c>
      <c r="Z70" s="176" t="s">
        <v>268</v>
      </c>
      <c r="AA70" s="303" t="s">
        <v>365</v>
      </c>
      <c r="AB70" s="303" t="s">
        <v>366</v>
      </c>
      <c r="AC70" s="313">
        <f t="shared" si="1"/>
        <v>0.83333333333333337</v>
      </c>
      <c r="AD70" s="303" t="s">
        <v>366</v>
      </c>
      <c r="AE70" s="303" t="s">
        <v>366</v>
      </c>
      <c r="AF70" s="303" t="s">
        <v>366</v>
      </c>
      <c r="AG70" s="303" t="s">
        <v>366</v>
      </c>
      <c r="AH70" s="303" t="s">
        <v>366</v>
      </c>
      <c r="AI70" s="303" t="s">
        <v>366</v>
      </c>
      <c r="AJ70" s="305" t="s">
        <v>366</v>
      </c>
      <c r="AK70" s="303" t="s">
        <v>366</v>
      </c>
      <c r="AL70" s="312" t="s">
        <v>266</v>
      </c>
      <c r="AM70" s="303" t="s">
        <v>266</v>
      </c>
      <c r="AN70" s="303" t="s">
        <v>266</v>
      </c>
      <c r="AO70" s="303" t="s">
        <v>266</v>
      </c>
      <c r="AP70" s="303" t="s">
        <v>266</v>
      </c>
      <c r="AQ70" s="303" t="s">
        <v>266</v>
      </c>
      <c r="AR70" s="303" t="s">
        <v>266</v>
      </c>
      <c r="AS70" s="313">
        <f t="shared" si="2"/>
        <v>0.46666666666666667</v>
      </c>
      <c r="AT70" s="303" t="s">
        <v>366</v>
      </c>
      <c r="AU70" s="303" t="s">
        <v>366</v>
      </c>
      <c r="AV70" s="313">
        <f t="shared" si="3"/>
        <v>0</v>
      </c>
      <c r="AW70" s="329">
        <f t="shared" si="4"/>
        <v>0.42500000000000004</v>
      </c>
    </row>
    <row r="71" spans="3:49" s="302" customFormat="1" ht="18.75" customHeight="1" x14ac:dyDescent="0.3">
      <c r="C71" s="47" t="s">
        <v>4</v>
      </c>
      <c r="D71" s="47" t="s">
        <v>260</v>
      </c>
      <c r="E71" s="47" t="s">
        <v>261</v>
      </c>
      <c r="F71" s="47" t="s">
        <v>88</v>
      </c>
      <c r="G71" s="47" t="s">
        <v>103</v>
      </c>
      <c r="H71" s="47">
        <v>10</v>
      </c>
      <c r="I71" s="51" t="s">
        <v>262</v>
      </c>
      <c r="J71" s="77">
        <v>54768</v>
      </c>
      <c r="K71" s="62" t="s">
        <v>16</v>
      </c>
      <c r="L71" s="303" t="s">
        <v>267</v>
      </c>
      <c r="M71" s="303" t="s">
        <v>267</v>
      </c>
      <c r="N71" s="303"/>
      <c r="O71" s="303" t="s">
        <v>366</v>
      </c>
      <c r="P71" s="303" t="s">
        <v>366</v>
      </c>
      <c r="Q71" s="313">
        <f t="shared" si="0"/>
        <v>0.4</v>
      </c>
      <c r="R71" s="303" t="s">
        <v>267</v>
      </c>
      <c r="S71" s="303" t="s">
        <v>267</v>
      </c>
      <c r="T71" s="303" t="s">
        <v>267</v>
      </c>
      <c r="U71" s="303" t="s">
        <v>267</v>
      </c>
      <c r="V71" s="303" t="s">
        <v>267</v>
      </c>
      <c r="W71" s="303" t="s">
        <v>267</v>
      </c>
      <c r="X71" s="304" t="s">
        <v>271</v>
      </c>
      <c r="Y71" s="303" t="s">
        <v>366</v>
      </c>
      <c r="Z71" s="176" t="s">
        <v>268</v>
      </c>
      <c r="AA71" s="303" t="s">
        <v>365</v>
      </c>
      <c r="AB71" s="303" t="s">
        <v>366</v>
      </c>
      <c r="AC71" s="313">
        <f t="shared" si="1"/>
        <v>0.72222222222222221</v>
      </c>
      <c r="AD71" s="303" t="s">
        <v>366</v>
      </c>
      <c r="AE71" s="303" t="s">
        <v>366</v>
      </c>
      <c r="AF71" s="303" t="s">
        <v>366</v>
      </c>
      <c r="AG71" s="303" t="s">
        <v>366</v>
      </c>
      <c r="AH71" s="303" t="s">
        <v>366</v>
      </c>
      <c r="AI71" s="303" t="s">
        <v>366</v>
      </c>
      <c r="AJ71" s="305" t="s">
        <v>366</v>
      </c>
      <c r="AK71" s="303" t="s">
        <v>366</v>
      </c>
      <c r="AL71" s="312" t="s">
        <v>266</v>
      </c>
      <c r="AM71" s="303" t="s">
        <v>266</v>
      </c>
      <c r="AN71" s="303" t="s">
        <v>266</v>
      </c>
      <c r="AO71" s="303" t="s">
        <v>266</v>
      </c>
      <c r="AP71" s="303" t="s">
        <v>266</v>
      </c>
      <c r="AQ71" s="303" t="s">
        <v>266</v>
      </c>
      <c r="AR71" s="303" t="s">
        <v>266</v>
      </c>
      <c r="AS71" s="313">
        <f t="shared" si="2"/>
        <v>0.46666666666666667</v>
      </c>
      <c r="AT71" s="303" t="s">
        <v>366</v>
      </c>
      <c r="AU71" s="303" t="s">
        <v>366</v>
      </c>
      <c r="AV71" s="313">
        <f t="shared" si="3"/>
        <v>0</v>
      </c>
      <c r="AW71" s="329">
        <f t="shared" si="4"/>
        <v>0.39722222222222225</v>
      </c>
    </row>
    <row r="72" spans="3:49" ht="14.4" x14ac:dyDescent="0.3">
      <c r="O72" s="375"/>
      <c r="S72" s="376"/>
      <c r="X72" s="376"/>
      <c r="AD72" s="375"/>
      <c r="AI72" s="377"/>
    </row>
    <row r="73" spans="3:49" ht="14.4" x14ac:dyDescent="0.3"/>
    <row r="74" spans="3:49" ht="14.4" x14ac:dyDescent="0.3"/>
    <row r="75" spans="3:49" ht="14.4" x14ac:dyDescent="0.3"/>
    <row r="76" spans="3:49" ht="14.4" x14ac:dyDescent="0.3"/>
    <row r="77" spans="3:49" ht="14.4" x14ac:dyDescent="0.3"/>
    <row r="78" spans="3:49" ht="14.4" x14ac:dyDescent="0.3"/>
    <row r="79" spans="3:49" ht="14.4" x14ac:dyDescent="0.3"/>
    <row r="80" spans="3:49" ht="14.4" x14ac:dyDescent="0.3"/>
    <row r="81" ht="14.4" x14ac:dyDescent="0.3"/>
    <row r="82" ht="14.4" x14ac:dyDescent="0.3"/>
    <row r="83" ht="14.4" x14ac:dyDescent="0.3"/>
    <row r="84" ht="14.4" x14ac:dyDescent="0.3"/>
  </sheetData>
  <autoFilter ref="C10:AW71" xr:uid="{F6C3828E-DC52-4BBD-B13F-7269EA388FFF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14">
    <mergeCell ref="AT8:AU8"/>
    <mergeCell ref="Y9:AB9"/>
    <mergeCell ref="AD9:AF9"/>
    <mergeCell ref="AT9:AU9"/>
    <mergeCell ref="C9:K9"/>
    <mergeCell ref="C8:K8"/>
    <mergeCell ref="R8:AC8"/>
    <mergeCell ref="AD8:AS8"/>
    <mergeCell ref="C10:K10"/>
    <mergeCell ref="AI3:AK4"/>
    <mergeCell ref="L9:P9"/>
    <mergeCell ref="R9:V9"/>
    <mergeCell ref="AI9:AK9"/>
    <mergeCell ref="AG9:AH9"/>
  </mergeCells>
  <conditionalFormatting sqref="L8 R9:S9 M10 V10 AM47:AP48 V57 AG57:AG58 V59:V61 AG60 AG66 V68 R8">
    <cfRule type="cellIs" dxfId="615" priority="3281" operator="equal">
      <formula>"en proceso"</formula>
    </cfRule>
  </conditionalFormatting>
  <conditionalFormatting sqref="L8 R9:S9 M10 V10 AM47:AP48 AG57:AG58 AG60 AG66 R8">
    <cfRule type="cellIs" dxfId="614" priority="3283" operator="equal">
      <formula>"finalizado"</formula>
    </cfRule>
  </conditionalFormatting>
  <conditionalFormatting sqref="L52:L69">
    <cfRule type="cellIs" dxfId="613" priority="2674" operator="equal">
      <formula>"finalizado"</formula>
    </cfRule>
    <cfRule type="cellIs" dxfId="612" priority="2673" operator="equal">
      <formula>"en proceso"</formula>
    </cfRule>
  </conditionalFormatting>
  <conditionalFormatting sqref="L13:O14">
    <cfRule type="cellIs" dxfId="611" priority="2780" operator="equal">
      <formula>"finalizado"</formula>
    </cfRule>
  </conditionalFormatting>
  <conditionalFormatting sqref="L1:S7 L8 R8">
    <cfRule type="cellIs" dxfId="610" priority="3292" operator="equal">
      <formula>"en proceso "</formula>
    </cfRule>
  </conditionalFormatting>
  <conditionalFormatting sqref="L10:S11 AG11:AR11 L12:Q12 P13:P23 L15:M15 M15:O17 L16:L45 L20:O23 L24:P24 L25:M25 O25:P25 L26:O28 P26:P44 L31:O31 L34:N36 L38:N39 L43:N43 L45:P45 L46:M46 O46:P46 P46:P48 L49:P56 P57:P66 N59 O59:P64 N61:N63 O67:P69">
    <cfRule type="cellIs" dxfId="609" priority="3280" operator="equal">
      <formula>"finalizado"</formula>
    </cfRule>
  </conditionalFormatting>
  <conditionalFormatting sqref="L10:S11 AI11:AR11 AT11:AU11 L12:Q12 L13:L14 P13:P23 L15:M15 N15:O17 M16:M18 L16:L45 O18 L20:O23 L24:P24 L25:M25 O25:P25 L26:O28 P26:P44 L31:O31 L34:N36 O34:O40 L38:N39 O42:O44 L43:N43 N44 L45:P45 L46:M46 O46:P46 R46:T46 L47:O47 P47:P48 L48 L49:P56 R52:R56 P57:P66 L57:L69 N59 M59:M64 O59:P64 N61:N63 R67:S68 M67:M69 O67:P69 N68 R69:T69 L70:P71 L72:S1048576">
    <cfRule type="cellIs" dxfId="608" priority="3279" operator="equal">
      <formula>"en proceso "</formula>
    </cfRule>
  </conditionalFormatting>
  <conditionalFormatting sqref="L10:T11 AI11:AR11 L12:Q12 L13:L14 P13:P23 L15:M15 M15:O17 M16:M18 L16:L45 O18 L20:O23 L24:P24 L25:M25 O25:P25 L26:O28 P26:P44 L31:O31 L34:N36 O34:O40 L38:N39 O42:O44 L43:N43 L45:P45 L46:M46 O46:P46 R46:T46 P46:P48 L47:O47 L48 L49:P56 R52:R56 P57:P66 N59 M59:M64 O59:P64 N61:N63 R67:S68 M67:M69 O67:P69 L70:P71">
    <cfRule type="cellIs" dxfId="607" priority="3278" operator="equal">
      <formula>"en proceso"</formula>
    </cfRule>
  </conditionalFormatting>
  <conditionalFormatting sqref="L1:W7 W9:W11">
    <cfRule type="cellIs" dxfId="606" priority="2977" operator="equal">
      <formula>"en proceso"</formula>
    </cfRule>
    <cfRule type="cellIs" dxfId="605" priority="2978" operator="equal">
      <formula>"finalizado"</formula>
    </cfRule>
  </conditionalFormatting>
  <conditionalFormatting sqref="L72:W1048576">
    <cfRule type="cellIs" dxfId="604" priority="2973" operator="equal">
      <formula>"en proceso"</formula>
    </cfRule>
  </conditionalFormatting>
  <conditionalFormatting sqref="M13:M14">
    <cfRule type="cellIs" dxfId="603" priority="2908" operator="equal">
      <formula>"Finalizado"</formula>
    </cfRule>
    <cfRule type="cellIs" dxfId="602" priority="2910" operator="equal">
      <formula>"Devuelto "</formula>
    </cfRule>
    <cfRule type="cellIs" dxfId="601" priority="2907" operator="equal">
      <formula>"Devuelto"</formula>
    </cfRule>
    <cfRule type="cellIs" priority="2906" operator="equal">
      <formula>"Sin Iniciar"</formula>
    </cfRule>
  </conditionalFormatting>
  <conditionalFormatting sqref="M16:M19 M32:N33 M57:M69">
    <cfRule type="cellIs" dxfId="600" priority="2905" operator="equal">
      <formula>"finalizado"</formula>
    </cfRule>
  </conditionalFormatting>
  <conditionalFormatting sqref="M19 M29:M30 M57:M58 M65:M66">
    <cfRule type="cellIs" dxfId="599" priority="2904" operator="equal">
      <formula>"Devuelto "</formula>
    </cfRule>
    <cfRule type="cellIs" dxfId="598" priority="2901" operator="equal">
      <formula>"Devuelto"</formula>
    </cfRule>
  </conditionalFormatting>
  <conditionalFormatting sqref="M19 M29:M30 M65:M66">
    <cfRule type="cellIs" dxfId="597" priority="2902" operator="equal">
      <formula>"Finalizado"</formula>
    </cfRule>
    <cfRule type="cellIs" priority="2900" operator="equal">
      <formula>"Sin Iniciar"</formula>
    </cfRule>
  </conditionalFormatting>
  <conditionalFormatting sqref="M37">
    <cfRule type="cellIs" dxfId="596" priority="2898" operator="equal">
      <formula>"Devuelto "</formula>
    </cfRule>
    <cfRule type="cellIs" dxfId="595" priority="2895" operator="equal">
      <formula>"Devuelto"</formula>
    </cfRule>
    <cfRule type="cellIs" dxfId="594" priority="2890" operator="equal">
      <formula>"finalizado"</formula>
    </cfRule>
    <cfRule type="cellIs" dxfId="593" priority="2889" operator="equal">
      <formula>"en proceso"</formula>
    </cfRule>
  </conditionalFormatting>
  <conditionalFormatting sqref="M40">
    <cfRule type="cellIs" dxfId="592" priority="2870" operator="equal">
      <formula>"En proceso"</formula>
    </cfRule>
    <cfRule type="cellIs" dxfId="591" priority="2867" operator="equal">
      <formula>"en proceso"</formula>
    </cfRule>
  </conditionalFormatting>
  <conditionalFormatting sqref="M40:M42">
    <cfRule type="cellIs" dxfId="590" priority="2865" operator="equal">
      <formula>"Devuelto "</formula>
    </cfRule>
    <cfRule type="cellIs" dxfId="589" priority="2860" operator="equal">
      <formula>"Finalizado"</formula>
    </cfRule>
    <cfRule type="cellIs" priority="2858" operator="equal">
      <formula>"Sin Iniciar"</formula>
    </cfRule>
    <cfRule type="cellIs" dxfId="588" priority="2857" operator="equal">
      <formula>"finalizado"</formula>
    </cfRule>
    <cfRule type="cellIs" dxfId="587" priority="2862" operator="equal">
      <formula>"Devuelto"</formula>
    </cfRule>
  </conditionalFormatting>
  <conditionalFormatting sqref="M42">
    <cfRule type="cellIs" dxfId="586" priority="2856" operator="equal">
      <formula>"en proceso"</formula>
    </cfRule>
  </conditionalFormatting>
  <conditionalFormatting sqref="M44">
    <cfRule type="cellIs" dxfId="585" priority="2854" operator="equal">
      <formula>"Devuelto "</formula>
    </cfRule>
    <cfRule type="cellIs" dxfId="584" priority="2851" operator="equal">
      <formula>"Devuelto"</formula>
    </cfRule>
    <cfRule type="cellIs" dxfId="583" priority="2848" operator="equal">
      <formula>"En proceso"</formula>
    </cfRule>
    <cfRule type="cellIs" dxfId="582" priority="2849" operator="equal">
      <formula>"Finalizado"</formula>
    </cfRule>
    <cfRule type="cellIs" priority="2847" operator="equal">
      <formula>"Sin Iniciar"</formula>
    </cfRule>
  </conditionalFormatting>
  <conditionalFormatting sqref="M37:N37">
    <cfRule type="cellIs" priority="141" operator="equal">
      <formula>"Sin Iniciar"</formula>
    </cfRule>
    <cfRule type="cellIs" dxfId="581" priority="142" operator="equal">
      <formula>"En proceso"</formula>
    </cfRule>
    <cfRule type="cellIs" dxfId="580" priority="143" operator="equal">
      <formula>"Finalizado"</formula>
    </cfRule>
  </conditionalFormatting>
  <conditionalFormatting sqref="M42:N42">
    <cfRule type="cellIs" dxfId="579" priority="166" operator="equal">
      <formula>"En proceso"</formula>
    </cfRule>
  </conditionalFormatting>
  <conditionalFormatting sqref="M44:N44">
    <cfRule type="cellIs" dxfId="578" priority="2845" operator="equal">
      <formula>"en proceso"</formula>
    </cfRule>
    <cfRule type="cellIs" dxfId="577" priority="2846" operator="equal">
      <formula>"finalizado"</formula>
    </cfRule>
  </conditionalFormatting>
  <conditionalFormatting sqref="M29:O30">
    <cfRule type="cellIs" dxfId="576" priority="2682" operator="equal">
      <formula>"finalizado"</formula>
    </cfRule>
  </conditionalFormatting>
  <conditionalFormatting sqref="M57:O58">
    <cfRule type="cellIs" priority="157" operator="equal">
      <formula>"Sin Iniciar"</formula>
    </cfRule>
    <cfRule type="cellIs" dxfId="575" priority="159" operator="equal">
      <formula>"Finalizado"</formula>
    </cfRule>
  </conditionalFormatting>
  <conditionalFormatting sqref="N10:N11 P10:Q11">
    <cfRule type="cellIs" dxfId="574" priority="3287" operator="equal">
      <formula>"No aplica"</formula>
    </cfRule>
  </conditionalFormatting>
  <conditionalFormatting sqref="N13">
    <cfRule type="cellIs" dxfId="573" priority="2778" operator="equal">
      <formula>"en proceso"</formula>
    </cfRule>
    <cfRule type="cellIs" dxfId="572" priority="2779" operator="equal">
      <formula>"en proceso "</formula>
    </cfRule>
  </conditionalFormatting>
  <conditionalFormatting sqref="N14 N29">
    <cfRule type="cellIs" dxfId="571" priority="2916" operator="equal">
      <formula>"Devuelto "</formula>
    </cfRule>
    <cfRule type="cellIs" priority="2912" operator="equal">
      <formula>"Sin Iniciar"</formula>
    </cfRule>
    <cfRule type="cellIs" dxfId="570" priority="2913" operator="equal">
      <formula>"Devuelto"</formula>
    </cfRule>
    <cfRule type="cellIs" dxfId="569" priority="2914" operator="equal">
      <formula>"Finalizado"</formula>
    </cfRule>
  </conditionalFormatting>
  <conditionalFormatting sqref="N18">
    <cfRule type="cellIs" priority="133" operator="equal">
      <formula>"Sin Iniciar"</formula>
    </cfRule>
    <cfRule type="cellIs" dxfId="568" priority="135" operator="equal">
      <formula>"Finalizado"</formula>
    </cfRule>
    <cfRule type="cellIs" dxfId="567" priority="134" operator="equal">
      <formula>"En proceso"</formula>
    </cfRule>
    <cfRule type="cellIs" dxfId="566" priority="132" operator="equal">
      <formula>"No aplica"</formula>
    </cfRule>
  </conditionalFormatting>
  <conditionalFormatting sqref="N19">
    <cfRule type="cellIs" dxfId="565" priority="2687" operator="equal">
      <formula>"finalizado"</formula>
    </cfRule>
    <cfRule type="cellIs" dxfId="564" priority="2686" operator="equal">
      <formula>"en proceso "</formula>
    </cfRule>
    <cfRule type="cellIs" dxfId="563" priority="2685" operator="equal">
      <formula>"en proceso"</formula>
    </cfRule>
  </conditionalFormatting>
  <conditionalFormatting sqref="N25">
    <cfRule type="cellIs" dxfId="562" priority="138" operator="equal">
      <formula>"En proceso"</formula>
    </cfRule>
    <cfRule type="cellIs" dxfId="561" priority="136" operator="equal">
      <formula>"No aplica"</formula>
    </cfRule>
    <cfRule type="cellIs" priority="137" operator="equal">
      <formula>"Sin Iniciar"</formula>
    </cfRule>
    <cfRule type="cellIs" dxfId="560" priority="139" operator="equal">
      <formula>"Finalizado"</formula>
    </cfRule>
  </conditionalFormatting>
  <conditionalFormatting sqref="N30">
    <cfRule type="cellIs" dxfId="559" priority="2680" operator="equal">
      <formula>"en proceso"</formula>
    </cfRule>
    <cfRule type="cellIs" dxfId="558" priority="2681" operator="equal">
      <formula>"en proceso "</formula>
    </cfRule>
  </conditionalFormatting>
  <conditionalFormatting sqref="N37">
    <cfRule type="cellIs" dxfId="557" priority="140" operator="equal">
      <formula>"No aplica"</formula>
    </cfRule>
  </conditionalFormatting>
  <conditionalFormatting sqref="N40:N41">
    <cfRule type="cellIs" dxfId="556" priority="2676" operator="equal">
      <formula>"en proceso "</formula>
    </cfRule>
    <cfRule type="cellIs" dxfId="555" priority="2677" operator="equal">
      <formula>"finalizado"</formula>
    </cfRule>
    <cfRule type="cellIs" dxfId="554" priority="2675" operator="equal">
      <formula>"en proceso"</formula>
    </cfRule>
  </conditionalFormatting>
  <conditionalFormatting sqref="N42">
    <cfRule type="cellIs" dxfId="553" priority="164" operator="equal">
      <formula>"No aplica"</formula>
    </cfRule>
    <cfRule type="cellIs" priority="165" operator="equal">
      <formula>"Sin Iniciar"</formula>
    </cfRule>
    <cfRule type="cellIs" dxfId="552" priority="167" operator="equal">
      <formula>"Finalizado"</formula>
    </cfRule>
  </conditionalFormatting>
  <conditionalFormatting sqref="N46">
    <cfRule type="cellIs" dxfId="551" priority="163" operator="equal">
      <formula>"Finalizado"</formula>
    </cfRule>
    <cfRule type="cellIs" dxfId="550" priority="162" operator="equal">
      <formula>"En proceso"</formula>
    </cfRule>
    <cfRule type="cellIs" priority="161" operator="equal">
      <formula>"Sin Iniciar"</formula>
    </cfRule>
    <cfRule type="cellIs" dxfId="549" priority="160" operator="equal">
      <formula>"No aplica"</formula>
    </cfRule>
  </conditionalFormatting>
  <conditionalFormatting sqref="N57:N58">
    <cfRule type="cellIs" dxfId="548" priority="158" operator="equal">
      <formula>"En proceso"</formula>
    </cfRule>
    <cfRule type="cellIs" dxfId="547" priority="156" operator="equal">
      <formula>"No aplica"</formula>
    </cfRule>
  </conditionalFormatting>
  <conditionalFormatting sqref="N60">
    <cfRule type="cellIs" dxfId="546" priority="152" operator="equal">
      <formula>"No aplica"</formula>
    </cfRule>
    <cfRule type="cellIs" priority="153" operator="equal">
      <formula>"Sin Iniciar"</formula>
    </cfRule>
    <cfRule type="cellIs" dxfId="545" priority="154" operator="equal">
      <formula>"En proceso"</formula>
    </cfRule>
    <cfRule type="cellIs" dxfId="544" priority="155" operator="equal">
      <formula>"Finalizado"</formula>
    </cfRule>
  </conditionalFormatting>
  <conditionalFormatting sqref="N64">
    <cfRule type="cellIs" dxfId="543" priority="147" operator="equal">
      <formula>"Finalizado"</formula>
    </cfRule>
    <cfRule type="cellIs" dxfId="542" priority="146" operator="equal">
      <formula>"En proceso"</formula>
    </cfRule>
    <cfRule type="cellIs" priority="145" operator="equal">
      <formula>"Sin Iniciar"</formula>
    </cfRule>
    <cfRule type="cellIs" dxfId="541" priority="144" operator="equal">
      <formula>"No aplica"</formula>
    </cfRule>
  </conditionalFormatting>
  <conditionalFormatting sqref="N65">
    <cfRule type="cellIs" dxfId="540" priority="2670" operator="equal">
      <formula>"finalizado"</formula>
    </cfRule>
    <cfRule type="cellIs" dxfId="539" priority="2669" operator="equal">
      <formula>"en proceso "</formula>
    </cfRule>
    <cfRule type="cellIs" dxfId="538" priority="2668" operator="equal">
      <formula>"en proceso"</formula>
    </cfRule>
  </conditionalFormatting>
  <conditionalFormatting sqref="N66:N67">
    <cfRule type="cellIs" dxfId="537" priority="148" operator="equal">
      <formula>"No aplica"</formula>
    </cfRule>
    <cfRule type="cellIs" priority="149" operator="equal">
      <formula>"Sin Iniciar"</formula>
    </cfRule>
    <cfRule type="cellIs" dxfId="536" priority="150" operator="equal">
      <formula>"En proceso"</formula>
    </cfRule>
    <cfRule type="cellIs" dxfId="535" priority="151" operator="equal">
      <formula>"Finalizado"</formula>
    </cfRule>
  </conditionalFormatting>
  <conditionalFormatting sqref="N68:N69">
    <cfRule type="cellIs" dxfId="534" priority="2690" operator="equal">
      <formula>"en proceso"</formula>
    </cfRule>
    <cfRule type="cellIs" dxfId="533" priority="2691" operator="equal">
      <formula>"finalizado"</formula>
    </cfRule>
  </conditionalFormatting>
  <conditionalFormatting sqref="N69">
    <cfRule type="cellIs" dxfId="532" priority="2696" operator="equal">
      <formula>"Devuelto"</formula>
    </cfRule>
    <cfRule type="cellIs" priority="2692" operator="equal">
      <formula>"Sin Iniciar"</formula>
    </cfRule>
    <cfRule type="cellIs" dxfId="531" priority="2693" operator="equal">
      <formula>"En proceso"</formula>
    </cfRule>
    <cfRule type="cellIs" dxfId="530" priority="2694" operator="equal">
      <formula>"Finalizado"</formula>
    </cfRule>
    <cfRule type="cellIs" dxfId="529" priority="2699" operator="equal">
      <formula>"Devuelto "</formula>
    </cfRule>
  </conditionalFormatting>
  <conditionalFormatting sqref="O13:O14 O19 O29:O30 M32:O33 O41 M48:O48 O57:O58 O65:O66">
    <cfRule type="cellIs" dxfId="528" priority="2818" operator="equal">
      <formula>"Devuelto"</formula>
    </cfRule>
    <cfRule type="cellIs" dxfId="527" priority="2821" operator="equal">
      <formula>"Devuelto "</formula>
    </cfRule>
  </conditionalFormatting>
  <conditionalFormatting sqref="O13:O14 O19 O29:O30 M32:O33 O41 M48:O48 O65:O66">
    <cfRule type="cellIs" dxfId="526" priority="2819" operator="equal">
      <formula>"Finalizado"</formula>
    </cfRule>
    <cfRule type="cellIs" priority="2817" operator="equal">
      <formula>"Sin Iniciar"</formula>
    </cfRule>
  </conditionalFormatting>
  <conditionalFormatting sqref="O18:O19 O32:O44 L47:O48 O57:O58 O65:O66">
    <cfRule type="cellIs" dxfId="525" priority="2822" operator="equal">
      <formula>"finalizado"</formula>
    </cfRule>
  </conditionalFormatting>
  <conditionalFormatting sqref="Q12:Q71">
    <cfRule type="cellIs" dxfId="524" priority="113" operator="equal">
      <formula>"en proceso "</formula>
    </cfRule>
    <cfRule type="cellIs" dxfId="523" priority="112" operator="equal">
      <formula>"en proceso"</formula>
    </cfRule>
  </conditionalFormatting>
  <conditionalFormatting sqref="Q12:S68">
    <cfRule type="cellIs" dxfId="522" priority="100" operator="equal">
      <formula>"finalizado"</formula>
    </cfRule>
  </conditionalFormatting>
  <conditionalFormatting sqref="Q69:V69 L70:W1048576">
    <cfRule type="cellIs" dxfId="521" priority="114" operator="equal">
      <formula>"finalizado"</formula>
    </cfRule>
  </conditionalFormatting>
  <conditionalFormatting sqref="R52:R56">
    <cfRule type="cellIs" dxfId="520" priority="81" operator="equal">
      <formula>"Finalizado"</formula>
    </cfRule>
    <cfRule type="cellIs" dxfId="519" priority="82" operator="equal">
      <formula>"Devuelto"</formula>
    </cfRule>
    <cfRule type="cellIs" dxfId="518" priority="83" operator="equal">
      <formula>"Devuelto "</formula>
    </cfRule>
    <cfRule type="cellIs" priority="79" operator="equal">
      <formula>"Sin Iniciar"</formula>
    </cfRule>
    <cfRule type="cellIs" dxfId="517" priority="80" operator="equal">
      <formula>"En proceso"</formula>
    </cfRule>
  </conditionalFormatting>
  <conditionalFormatting sqref="R67:R69">
    <cfRule type="cellIs" dxfId="516" priority="77" operator="equal">
      <formula>"Devuelto"</formula>
    </cfRule>
    <cfRule type="cellIs" dxfId="515" priority="78" operator="equal">
      <formula>"Devuelto "</formula>
    </cfRule>
    <cfRule type="cellIs" dxfId="514" priority="76" operator="equal">
      <formula>"Finalizado"</formula>
    </cfRule>
    <cfRule type="cellIs" dxfId="513" priority="75" operator="equal">
      <formula>"En proceso"</formula>
    </cfRule>
    <cfRule type="cellIs" priority="74" operator="equal">
      <formula>"Sin Iniciar"</formula>
    </cfRule>
  </conditionalFormatting>
  <conditionalFormatting sqref="R47:S51">
    <cfRule type="cellIs" dxfId="512" priority="2633" operator="equal">
      <formula>"Devuelto "</formula>
    </cfRule>
    <cfRule type="cellIs" dxfId="511" priority="2628" operator="equal">
      <formula>"Finalizado"</formula>
    </cfRule>
    <cfRule type="cellIs" dxfId="510" priority="2627" operator="equal">
      <formula>"En proceso"</formula>
    </cfRule>
    <cfRule type="cellIs" priority="2626" operator="equal">
      <formula>"Sin Iniciar"</formula>
    </cfRule>
    <cfRule type="cellIs" dxfId="509" priority="2630" operator="equal">
      <formula>"Devuelto"</formula>
    </cfRule>
  </conditionalFormatting>
  <conditionalFormatting sqref="R57:S66">
    <cfRule type="cellIs" dxfId="508" priority="98" operator="equal">
      <formula>"Devuelto"</formula>
    </cfRule>
    <cfRule type="cellIs" dxfId="507" priority="97" operator="equal">
      <formula>"Finalizado"</formula>
    </cfRule>
    <cfRule type="cellIs" dxfId="506" priority="96" operator="equal">
      <formula>"En proceso"</formula>
    </cfRule>
    <cfRule type="cellIs" dxfId="505" priority="99" operator="equal">
      <formula>"Devuelto "</formula>
    </cfRule>
    <cfRule type="cellIs" priority="95" operator="equal">
      <formula>"Sin Iniciar"</formula>
    </cfRule>
  </conditionalFormatting>
  <conditionalFormatting sqref="R12:T46">
    <cfRule type="cellIs" priority="85" operator="equal">
      <formula>"Sin Iniciar"</formula>
    </cfRule>
    <cfRule type="cellIs" dxfId="504" priority="87" operator="equal">
      <formula>"Finalizado"</formula>
    </cfRule>
    <cfRule type="cellIs" dxfId="503" priority="89" operator="equal">
      <formula>"Devuelto "</formula>
    </cfRule>
    <cfRule type="cellIs" dxfId="502" priority="88" operator="equal">
      <formula>"Devuelto"</formula>
    </cfRule>
    <cfRule type="cellIs" dxfId="501" priority="86" operator="equal">
      <formula>"En proceso"</formula>
    </cfRule>
  </conditionalFormatting>
  <conditionalFormatting sqref="R69:W69">
    <cfRule type="cellIs" dxfId="500" priority="2975" operator="equal">
      <formula>"en proceso"</formula>
    </cfRule>
  </conditionalFormatting>
  <conditionalFormatting sqref="S47:S56">
    <cfRule type="cellIs" dxfId="499" priority="102" operator="equal">
      <formula>"En proceso"</formula>
    </cfRule>
    <cfRule type="cellIs" dxfId="498" priority="103" operator="equal">
      <formula>"Finalizado"</formula>
    </cfRule>
    <cfRule type="cellIs" dxfId="497" priority="104" operator="equal">
      <formula>"Devuelto"</formula>
    </cfRule>
    <cfRule type="cellIs" dxfId="496" priority="105" operator="equal">
      <formula>"Devuelto "</formula>
    </cfRule>
    <cfRule type="cellIs" priority="101" operator="equal">
      <formula>"Sin Iniciar"</formula>
    </cfRule>
  </conditionalFormatting>
  <conditionalFormatting sqref="S67:S68 R70:W71">
    <cfRule type="cellIs" dxfId="495" priority="92" operator="equal">
      <formula>"Finalizado"</formula>
    </cfRule>
    <cfRule type="cellIs" dxfId="494" priority="93" operator="equal">
      <formula>"Devuelto"</formula>
    </cfRule>
    <cfRule type="cellIs" dxfId="493" priority="91" operator="equal">
      <formula>"En proceso"</formula>
    </cfRule>
    <cfRule type="cellIs" priority="90" operator="equal">
      <formula>"Sin Iniciar"</formula>
    </cfRule>
    <cfRule type="cellIs" dxfId="492" priority="94" operator="equal">
      <formula>"Devuelto "</formula>
    </cfRule>
  </conditionalFormatting>
  <conditionalFormatting sqref="S69:T69">
    <cfRule type="cellIs" dxfId="491" priority="73" operator="equal">
      <formula>"Devuelto "</formula>
    </cfRule>
    <cfRule type="cellIs" dxfId="490" priority="72" operator="equal">
      <formula>"Devuelto"</formula>
    </cfRule>
    <cfRule type="cellIs" dxfId="489" priority="71" operator="equal">
      <formula>"Finalizado"</formula>
    </cfRule>
    <cfRule type="cellIs" dxfId="488" priority="70" operator="equal">
      <formula>"En proceso"</formula>
    </cfRule>
    <cfRule type="cellIs" priority="69" operator="equal">
      <formula>"Sin Iniciar"</formula>
    </cfRule>
  </conditionalFormatting>
  <conditionalFormatting sqref="T10:T68">
    <cfRule type="cellIs" dxfId="487" priority="84" operator="equal">
      <formula>"finalizado"</formula>
    </cfRule>
  </conditionalFormatting>
  <conditionalFormatting sqref="T47:T68">
    <cfRule type="cellIs" dxfId="486" priority="2540" operator="equal">
      <formula>"Devuelto"</formula>
    </cfRule>
    <cfRule type="cellIs" dxfId="485" priority="2543" operator="equal">
      <formula>"Devuelto "</formula>
    </cfRule>
    <cfRule type="cellIs" priority="2536" operator="equal">
      <formula>"Sin Iniciar"</formula>
    </cfRule>
    <cfRule type="cellIs" dxfId="484" priority="2538" operator="equal">
      <formula>"Finalizado"</formula>
    </cfRule>
    <cfRule type="cellIs" dxfId="483" priority="2537" operator="equal">
      <formula>"En proceso"</formula>
    </cfRule>
  </conditionalFormatting>
  <conditionalFormatting sqref="U12">
    <cfRule type="cellIs" dxfId="482" priority="2264" operator="equal">
      <formula>"No aplica"</formula>
    </cfRule>
  </conditionalFormatting>
  <conditionalFormatting sqref="U17:U18">
    <cfRule type="cellIs" dxfId="481" priority="2260" operator="equal">
      <formula>"No aplica"</formula>
    </cfRule>
  </conditionalFormatting>
  <conditionalFormatting sqref="U17:U68">
    <cfRule type="cellIs" dxfId="480" priority="2207" operator="equal">
      <formula>"Finalizado"</formula>
    </cfRule>
    <cfRule type="cellIs" priority="2205" operator="equal">
      <formula>"Sin Iniciar"</formula>
    </cfRule>
    <cfRule type="cellIs" dxfId="479" priority="2206" operator="equal">
      <formula>"En proceso"</formula>
    </cfRule>
  </conditionalFormatting>
  <conditionalFormatting sqref="U19">
    <cfRule type="cellIs" dxfId="478" priority="2390" operator="equal">
      <formula>"Devuelto "</formula>
    </cfRule>
    <cfRule type="cellIs" dxfId="477" priority="2387" operator="equal">
      <formula>"Devuelto"</formula>
    </cfRule>
    <cfRule type="cellIs" dxfId="476" priority="2391" operator="equal">
      <formula>"finalizado"</formula>
    </cfRule>
  </conditionalFormatting>
  <conditionalFormatting sqref="U20:U23">
    <cfRule type="cellIs" dxfId="475" priority="2256" operator="equal">
      <formula>"No aplica"</formula>
    </cfRule>
  </conditionalFormatting>
  <conditionalFormatting sqref="U24:U25">
    <cfRule type="cellIs" dxfId="474" priority="2399" operator="equal">
      <formula>"Devuelto "</formula>
    </cfRule>
    <cfRule type="cellIs" dxfId="473" priority="2400" operator="equal">
      <formula>"finalizado"</formula>
    </cfRule>
    <cfRule type="cellIs" dxfId="472" priority="2396" operator="equal">
      <formula>"Devuelto"</formula>
    </cfRule>
  </conditionalFormatting>
  <conditionalFormatting sqref="U26">
    <cfRule type="cellIs" dxfId="471" priority="2252" operator="equal">
      <formula>"No aplica"</formula>
    </cfRule>
  </conditionalFormatting>
  <conditionalFormatting sqref="U27">
    <cfRule type="cellIs" dxfId="470" priority="2405" operator="equal">
      <formula>"Devuelto"</formula>
    </cfRule>
    <cfRule type="cellIs" dxfId="469" priority="2409" operator="equal">
      <formula>"finalizado"</formula>
    </cfRule>
    <cfRule type="cellIs" dxfId="468" priority="2408" operator="equal">
      <formula>"Devuelto "</formula>
    </cfRule>
  </conditionalFormatting>
  <conditionalFormatting sqref="U28">
    <cfRule type="cellIs" dxfId="467" priority="2248" operator="equal">
      <formula>"No aplica"</formula>
    </cfRule>
  </conditionalFormatting>
  <conditionalFormatting sqref="U29:U30">
    <cfRule type="cellIs" dxfId="466" priority="2414" operator="equal">
      <formula>"Devuelto"</formula>
    </cfRule>
    <cfRule type="cellIs" dxfId="465" priority="2417" operator="equal">
      <formula>"Devuelto "</formula>
    </cfRule>
    <cfRule type="cellIs" dxfId="464" priority="2418" operator="equal">
      <formula>"finalizado"</formula>
    </cfRule>
  </conditionalFormatting>
  <conditionalFormatting sqref="U31">
    <cfRule type="cellIs" dxfId="463" priority="2244" operator="equal">
      <formula>"No aplica"</formula>
    </cfRule>
  </conditionalFormatting>
  <conditionalFormatting sqref="U32:U33">
    <cfRule type="cellIs" dxfId="462" priority="2423" operator="equal">
      <formula>"Devuelto"</formula>
    </cfRule>
    <cfRule type="cellIs" dxfId="461" priority="2426" operator="equal">
      <formula>"Devuelto "</formula>
    </cfRule>
    <cfRule type="cellIs" dxfId="460" priority="2427" operator="equal">
      <formula>"finalizado"</formula>
    </cfRule>
  </conditionalFormatting>
  <conditionalFormatting sqref="U34:U36">
    <cfRule type="cellIs" dxfId="459" priority="2240" operator="equal">
      <formula>"No aplica"</formula>
    </cfRule>
  </conditionalFormatting>
  <conditionalFormatting sqref="U37:U38">
    <cfRule type="cellIs" dxfId="458" priority="2444" operator="equal">
      <formula>"Devuelto "</formula>
    </cfRule>
    <cfRule type="cellIs" dxfId="457" priority="2441" operator="equal">
      <formula>"Devuelto"</formula>
    </cfRule>
    <cfRule type="cellIs" dxfId="456" priority="2445" operator="equal">
      <formula>"finalizado"</formula>
    </cfRule>
  </conditionalFormatting>
  <conditionalFormatting sqref="U39">
    <cfRule type="cellIs" dxfId="455" priority="2236" operator="equal">
      <formula>"No aplica"</formula>
    </cfRule>
  </conditionalFormatting>
  <conditionalFormatting sqref="U40:U42">
    <cfRule type="cellIs" dxfId="454" priority="2454" operator="equal">
      <formula>"finalizado"</formula>
    </cfRule>
    <cfRule type="cellIs" dxfId="453" priority="2453" operator="equal">
      <formula>"Devuelto "</formula>
    </cfRule>
    <cfRule type="cellIs" dxfId="452" priority="2450" operator="equal">
      <formula>"Devuelto"</formula>
    </cfRule>
  </conditionalFormatting>
  <conditionalFormatting sqref="U43">
    <cfRule type="cellIs" dxfId="451" priority="2232" operator="equal">
      <formula>"No aplica"</formula>
    </cfRule>
  </conditionalFormatting>
  <conditionalFormatting sqref="U44:U45">
    <cfRule type="cellIs" dxfId="450" priority="2463" operator="equal">
      <formula>"finalizado"</formula>
    </cfRule>
    <cfRule type="cellIs" dxfId="449" priority="2459" operator="equal">
      <formula>"Devuelto"</formula>
    </cfRule>
    <cfRule type="cellIs" dxfId="448" priority="2462" operator="equal">
      <formula>"Devuelto "</formula>
    </cfRule>
  </conditionalFormatting>
  <conditionalFormatting sqref="U46:U47">
    <cfRule type="cellIs" dxfId="447" priority="2228" operator="equal">
      <formula>"No aplica"</formula>
    </cfRule>
  </conditionalFormatting>
  <conditionalFormatting sqref="U48:U50">
    <cfRule type="cellIs" dxfId="446" priority="2472" operator="equal">
      <formula>"finalizado"</formula>
    </cfRule>
    <cfRule type="cellIs" dxfId="445" priority="2471" operator="equal">
      <formula>"Devuelto "</formula>
    </cfRule>
    <cfRule type="cellIs" dxfId="444" priority="2468" operator="equal">
      <formula>"Devuelto"</formula>
    </cfRule>
  </conditionalFormatting>
  <conditionalFormatting sqref="U51">
    <cfRule type="cellIs" dxfId="443" priority="2224" operator="equal">
      <formula>"No aplica"</formula>
    </cfRule>
  </conditionalFormatting>
  <conditionalFormatting sqref="U52">
    <cfRule type="cellIs" dxfId="442" priority="2477" operator="equal">
      <formula>"Devuelto"</formula>
    </cfRule>
    <cfRule type="cellIs" dxfId="441" priority="2481" operator="equal">
      <formula>"finalizado"</formula>
    </cfRule>
    <cfRule type="cellIs" dxfId="440" priority="2480" operator="equal">
      <formula>"Devuelto "</formula>
    </cfRule>
  </conditionalFormatting>
  <conditionalFormatting sqref="U53:U54">
    <cfRule type="cellIs" dxfId="439" priority="2220" operator="equal">
      <formula>"No aplica"</formula>
    </cfRule>
  </conditionalFormatting>
  <conditionalFormatting sqref="U55">
    <cfRule type="cellIs" dxfId="438" priority="2490" operator="equal">
      <formula>"finalizado"</formula>
    </cfRule>
    <cfRule type="cellIs" dxfId="437" priority="2489" operator="equal">
      <formula>"Devuelto "</formula>
    </cfRule>
    <cfRule type="cellIs" dxfId="436" priority="2486" operator="equal">
      <formula>"Devuelto"</formula>
    </cfRule>
  </conditionalFormatting>
  <conditionalFormatting sqref="U56:U57">
    <cfRule type="cellIs" dxfId="435" priority="2216" operator="equal">
      <formula>"No aplica"</formula>
    </cfRule>
  </conditionalFormatting>
  <conditionalFormatting sqref="U58">
    <cfRule type="cellIs" dxfId="434" priority="2499" operator="equal">
      <formula>"finalizado"</formula>
    </cfRule>
  </conditionalFormatting>
  <conditionalFormatting sqref="U59:U62">
    <cfRule type="cellIs" dxfId="433" priority="2212" operator="equal">
      <formula>"No aplica"</formula>
    </cfRule>
  </conditionalFormatting>
  <conditionalFormatting sqref="U63">
    <cfRule type="cellIs" dxfId="432" priority="2507" operator="equal">
      <formula>"Devuelto "</formula>
    </cfRule>
    <cfRule type="cellIs" dxfId="431" priority="2504" operator="equal">
      <formula>"Devuelto"</formula>
    </cfRule>
    <cfRule type="cellIs" dxfId="430" priority="2508" operator="equal">
      <formula>"finalizado"</formula>
    </cfRule>
  </conditionalFormatting>
  <conditionalFormatting sqref="U64">
    <cfRule type="cellIs" dxfId="429" priority="2208" operator="equal">
      <formula>"No aplica"</formula>
    </cfRule>
  </conditionalFormatting>
  <conditionalFormatting sqref="U65:U66">
    <cfRule type="cellIs" dxfId="428" priority="2526" operator="equal">
      <formula>"finalizado"</formula>
    </cfRule>
    <cfRule type="cellIs" dxfId="427" priority="2525" operator="equal">
      <formula>"Devuelto "</formula>
    </cfRule>
    <cfRule type="cellIs" dxfId="426" priority="2522" operator="equal">
      <formula>"Devuelto"</formula>
    </cfRule>
  </conditionalFormatting>
  <conditionalFormatting sqref="U67:U68">
    <cfRule type="cellIs" dxfId="425" priority="2204" operator="equal">
      <formula>"No aplica"</formula>
    </cfRule>
  </conditionalFormatting>
  <conditionalFormatting sqref="U58:V58">
    <cfRule type="cellIs" dxfId="424" priority="2318" operator="equal">
      <formula>"Devuelto "</formula>
    </cfRule>
    <cfRule type="cellIs" dxfId="423" priority="2315" operator="equal">
      <formula>"Devuelto"</formula>
    </cfRule>
  </conditionalFormatting>
  <conditionalFormatting sqref="U12:W15">
    <cfRule type="cellIs" dxfId="422" priority="2357" operator="equal">
      <formula>"En proceso"</formula>
    </cfRule>
  </conditionalFormatting>
  <conditionalFormatting sqref="U16:X16">
    <cfRule type="cellIs" dxfId="421" priority="22" operator="equal">
      <formula>"En proceso"</formula>
    </cfRule>
    <cfRule type="cellIs" dxfId="420" priority="27" operator="equal">
      <formula>"en proceso"</formula>
    </cfRule>
    <cfRule type="cellIs" dxfId="419" priority="28" operator="equal">
      <formula>"en proceso "</formula>
    </cfRule>
  </conditionalFormatting>
  <conditionalFormatting sqref="U12:Y16">
    <cfRule type="cellIs" dxfId="418" priority="23" operator="equal">
      <formula>"Finalizado"</formula>
    </cfRule>
    <cfRule type="cellIs" priority="21" operator="equal">
      <formula>"Sin Iniciar"</formula>
    </cfRule>
  </conditionalFormatting>
  <conditionalFormatting sqref="U16:Y16">
    <cfRule type="cellIs" dxfId="417" priority="24" operator="equal">
      <formula>"Devuelto"</formula>
    </cfRule>
    <cfRule type="cellIs" dxfId="416" priority="25" operator="equal">
      <formula>"Devuelto "</formula>
    </cfRule>
    <cfRule type="cellIs" dxfId="415" priority="26" operator="equal">
      <formula>"finalizado"</formula>
    </cfRule>
  </conditionalFormatting>
  <conditionalFormatting sqref="V57:V68">
    <cfRule type="cellIs" dxfId="414" priority="2310" operator="equal">
      <formula>"finalizado"</formula>
    </cfRule>
  </conditionalFormatting>
  <conditionalFormatting sqref="V58">
    <cfRule type="cellIs" dxfId="413" priority="2313" operator="equal">
      <formula>"Finalizado"</formula>
    </cfRule>
    <cfRule type="cellIs" priority="2311" operator="equal">
      <formula>"Sin Iniciar"</formula>
    </cfRule>
    <cfRule type="cellIs" dxfId="412" priority="2312" operator="equal">
      <formula>"En proceso"</formula>
    </cfRule>
  </conditionalFormatting>
  <conditionalFormatting sqref="V62:V67">
    <cfRule type="cellIs" dxfId="411" priority="2306" operator="equal">
      <formula>"Devuelto"</formula>
    </cfRule>
    <cfRule type="cellIs" dxfId="410" priority="2309" operator="equal">
      <formula>"Devuelto "</formula>
    </cfRule>
    <cfRule type="cellIs" dxfId="409" priority="2304" operator="equal">
      <formula>"Finalizado"</formula>
    </cfRule>
    <cfRule type="cellIs" dxfId="408" priority="2303" operator="equal">
      <formula>"En proceso"</formula>
    </cfRule>
    <cfRule type="cellIs" priority="2302" operator="equal">
      <formula>"Sin Iniciar"</formula>
    </cfRule>
  </conditionalFormatting>
  <conditionalFormatting sqref="V17:W27 V29:W56">
    <cfRule type="cellIs" dxfId="407" priority="2330" operator="equal">
      <formula>"En proceso"</formula>
    </cfRule>
  </conditionalFormatting>
  <conditionalFormatting sqref="V29:W56">
    <cfRule type="cellIs" dxfId="406" priority="2336" operator="equal">
      <formula>"Devuelto "</formula>
    </cfRule>
    <cfRule type="cellIs" priority="2329" operator="equal">
      <formula>"Sin Iniciar"</formula>
    </cfRule>
    <cfRule type="cellIs" dxfId="405" priority="2337" operator="equal">
      <formula>"finalizado"</formula>
    </cfRule>
    <cfRule type="cellIs" dxfId="404" priority="2333" operator="equal">
      <formula>"Devuelto"</formula>
    </cfRule>
    <cfRule type="cellIs" dxfId="403" priority="2331" operator="equal">
      <formula>"Finalizado"</formula>
    </cfRule>
  </conditionalFormatting>
  <conditionalFormatting sqref="V28:X28">
    <cfRule type="cellIs" dxfId="402" priority="30" operator="equal">
      <formula>"En proceso"</formula>
    </cfRule>
  </conditionalFormatting>
  <conditionalFormatting sqref="V12:Y15 X68:Y71">
    <cfRule type="cellIs" dxfId="401" priority="2270" operator="equal">
      <formula>"Devuelto"</formula>
    </cfRule>
    <cfRule type="cellIs" dxfId="400" priority="2273" operator="equal">
      <formula>"Devuelto "</formula>
    </cfRule>
    <cfRule type="cellIs" dxfId="399" priority="2274" operator="equal">
      <formula>"finalizado"</formula>
    </cfRule>
  </conditionalFormatting>
  <conditionalFormatting sqref="V17:Y28">
    <cfRule type="cellIs" priority="29" operator="equal">
      <formula>"Sin Iniciar"</formula>
    </cfRule>
    <cfRule type="cellIs" dxfId="398" priority="31" operator="equal">
      <formula>"Finalizado"</formula>
    </cfRule>
    <cfRule type="cellIs" dxfId="397" priority="32" operator="equal">
      <formula>"Devuelto"</formula>
    </cfRule>
    <cfRule type="cellIs" dxfId="396" priority="34" operator="equal">
      <formula>"finalizado"</formula>
    </cfRule>
    <cfRule type="cellIs" dxfId="395" priority="33" operator="equal">
      <formula>"Devuelto "</formula>
    </cfRule>
  </conditionalFormatting>
  <conditionalFormatting sqref="W57:W66">
    <cfRule type="cellIs" dxfId="394" priority="56" operator="equal">
      <formula>"Devuelto"</formula>
    </cfRule>
    <cfRule type="cellIs" dxfId="393" priority="55" operator="equal">
      <formula>"Finalizado"</formula>
    </cfRule>
    <cfRule type="cellIs" dxfId="392" priority="54" operator="equal">
      <formula>"En proceso"</formula>
    </cfRule>
    <cfRule type="cellIs" priority="53" operator="equal">
      <formula>"Sin Iniciar"</formula>
    </cfRule>
    <cfRule type="cellIs" dxfId="391" priority="57" operator="equal">
      <formula>"Devuelto "</formula>
    </cfRule>
    <cfRule type="cellIs" dxfId="390" priority="58" operator="equal">
      <formula>"finalizado"</formula>
    </cfRule>
  </conditionalFormatting>
  <conditionalFormatting sqref="W68">
    <cfRule type="cellIs" dxfId="389" priority="2286" operator="equal">
      <formula>"Finalizado"</formula>
    </cfRule>
    <cfRule type="cellIs" dxfId="388" priority="2288" operator="equal">
      <formula>"Devuelto"</formula>
    </cfRule>
    <cfRule type="cellIs" dxfId="387" priority="2291" operator="equal">
      <formula>"Devuelto "</formula>
    </cfRule>
    <cfRule type="cellIs" priority="2284" operator="equal">
      <formula>"Sin Iniciar"</formula>
    </cfRule>
    <cfRule type="cellIs" dxfId="386" priority="2285" operator="equal">
      <formula>"En proceso"</formula>
    </cfRule>
  </conditionalFormatting>
  <conditionalFormatting sqref="W68:W69">
    <cfRule type="cellIs" dxfId="385" priority="2292" operator="equal">
      <formula>"finalizado"</formula>
    </cfRule>
  </conditionalFormatting>
  <conditionalFormatting sqref="W28:X28">
    <cfRule type="cellIs" dxfId="384" priority="36" operator="equal">
      <formula>"en proceso "</formula>
    </cfRule>
    <cfRule type="cellIs" dxfId="383" priority="35" operator="equal">
      <formula>"en proceso"</formula>
    </cfRule>
  </conditionalFormatting>
  <conditionalFormatting sqref="W60:X62">
    <cfRule type="cellIs" dxfId="382" priority="52" operator="equal">
      <formula>"en proceso "</formula>
    </cfRule>
    <cfRule type="cellIs" dxfId="381" priority="51" operator="equal">
      <formula>"en proceso"</formula>
    </cfRule>
  </conditionalFormatting>
  <conditionalFormatting sqref="W67:X67">
    <cfRule type="cellIs" dxfId="380" priority="38" operator="equal">
      <formula>"En proceso"</formula>
    </cfRule>
    <cfRule type="cellIs" dxfId="379" priority="44" operator="equal">
      <formula>"en proceso "</formula>
    </cfRule>
    <cfRule type="cellIs" dxfId="378" priority="43" operator="equal">
      <formula>"en proceso"</formula>
    </cfRule>
  </conditionalFormatting>
  <conditionalFormatting sqref="W67:Y67">
    <cfRule type="cellIs" priority="37" operator="equal">
      <formula>"Sin Iniciar"</formula>
    </cfRule>
    <cfRule type="cellIs" dxfId="377" priority="39" operator="equal">
      <formula>"Finalizado"</formula>
    </cfRule>
    <cfRule type="cellIs" dxfId="376" priority="42" operator="equal">
      <formula>"finalizado"</formula>
    </cfRule>
    <cfRule type="cellIs" dxfId="375" priority="41" operator="equal">
      <formula>"Devuelto "</formula>
    </cfRule>
    <cfRule type="cellIs" dxfId="374" priority="40" operator="equal">
      <formula>"Devuelto"</formula>
    </cfRule>
  </conditionalFormatting>
  <conditionalFormatting sqref="X60:X62">
    <cfRule type="cellIs" dxfId="373" priority="46" operator="equal">
      <formula>"En proceso"</formula>
    </cfRule>
  </conditionalFormatting>
  <conditionalFormatting sqref="X9:Y10 X11:AA11">
    <cfRule type="cellIs" dxfId="372" priority="2995" operator="equal">
      <formula>"finalizado"</formula>
    </cfRule>
    <cfRule type="cellIs" dxfId="371" priority="2994" operator="equal">
      <formula>"en proceso"</formula>
    </cfRule>
  </conditionalFormatting>
  <conditionalFormatting sqref="X29:Y66">
    <cfRule type="cellIs" priority="45" operator="equal">
      <formula>"Sin Iniciar"</formula>
    </cfRule>
    <cfRule type="cellIs" dxfId="370" priority="48" operator="equal">
      <formula>"Devuelto"</formula>
    </cfRule>
    <cfRule type="cellIs" dxfId="369" priority="49" operator="equal">
      <formula>"Devuelto "</formula>
    </cfRule>
    <cfRule type="cellIs" dxfId="368" priority="50" operator="equal">
      <formula>"finalizado"</formula>
    </cfRule>
    <cfRule type="cellIs" dxfId="367" priority="47" operator="equal">
      <formula>"Finalizado"</formula>
    </cfRule>
  </conditionalFormatting>
  <conditionalFormatting sqref="X68:Y71">
    <cfRule type="cellIs" dxfId="366" priority="2268" operator="equal">
      <formula>"Finalizado"</formula>
    </cfRule>
    <cfRule type="cellIs" priority="2266" operator="equal">
      <formula>"Sin Iniciar"</formula>
    </cfRule>
  </conditionalFormatting>
  <conditionalFormatting sqref="Y12:Y71">
    <cfRule type="cellIs" dxfId="365" priority="2267" operator="equal">
      <formula>"En proceso"</formula>
    </cfRule>
  </conditionalFormatting>
  <conditionalFormatting sqref="AA12:AB71">
    <cfRule type="cellIs" dxfId="364" priority="2655" operator="equal">
      <formula>"Finalizado"</formula>
    </cfRule>
    <cfRule type="cellIs" dxfId="363" priority="2654" operator="equal">
      <formula>"En proceso"</formula>
    </cfRule>
    <cfRule type="cellIs" priority="2653" operator="equal">
      <formula>"Sin Iniciar"</formula>
    </cfRule>
  </conditionalFormatting>
  <conditionalFormatting sqref="AB12:AB71">
    <cfRule type="cellIs" dxfId="362" priority="2265" operator="equal">
      <formula>"Enviado al ministerio"</formula>
    </cfRule>
  </conditionalFormatting>
  <conditionalFormatting sqref="AC10:AC11">
    <cfRule type="cellIs" dxfId="361" priority="2804" operator="equal">
      <formula>"No aplica"</formula>
    </cfRule>
  </conditionalFormatting>
  <conditionalFormatting sqref="AC10:AC71">
    <cfRule type="cellIs" dxfId="360" priority="2785" operator="equal">
      <formula>"finalizado"</formula>
    </cfRule>
    <cfRule type="cellIs" dxfId="359" priority="2784" operator="equal">
      <formula>"en proceso "</formula>
    </cfRule>
    <cfRule type="cellIs" dxfId="358" priority="2783" operator="equal">
      <formula>"en proceso"</formula>
    </cfRule>
  </conditionalFormatting>
  <conditionalFormatting sqref="AD8">
    <cfRule type="cellIs" dxfId="357" priority="2796" operator="equal">
      <formula>"en proceso"</formula>
    </cfRule>
    <cfRule type="cellIs" dxfId="356" priority="2798" operator="equal">
      <formula>"en proceso "</formula>
    </cfRule>
  </conditionalFormatting>
  <conditionalFormatting sqref="AD8:AD9">
    <cfRule type="cellIs" dxfId="355" priority="2797" operator="equal">
      <formula>"finalizado"</formula>
    </cfRule>
  </conditionalFormatting>
  <conditionalFormatting sqref="AD9">
    <cfRule type="cellIs" dxfId="354" priority="2990" operator="equal">
      <formula>"Devuelto "</formula>
    </cfRule>
    <cfRule type="cellIs" dxfId="353" priority="2989" operator="equal">
      <formula>"Devuelto"</formula>
    </cfRule>
  </conditionalFormatting>
  <conditionalFormatting sqref="AD13:AD15">
    <cfRule type="cellIs" dxfId="352" priority="2199" operator="equal">
      <formula>"Finalizado"</formula>
    </cfRule>
    <cfRule type="cellIs" dxfId="351" priority="2196" operator="equal">
      <formula>"No aplica"</formula>
    </cfRule>
    <cfRule type="cellIs" priority="2197" operator="equal">
      <formula>"Sin Iniciar"</formula>
    </cfRule>
  </conditionalFormatting>
  <conditionalFormatting sqref="AD37:AE37">
    <cfRule type="cellIs" dxfId="350" priority="19" operator="equal">
      <formula>"Devuelto "</formula>
    </cfRule>
    <cfRule type="cellIs" dxfId="349" priority="20" operator="equal">
      <formula>"finalizado"</formula>
    </cfRule>
    <cfRule type="cellIs" dxfId="348" priority="18" operator="equal">
      <formula>"Devuelto"</formula>
    </cfRule>
  </conditionalFormatting>
  <conditionalFormatting sqref="AD40:AE40">
    <cfRule type="cellIs" dxfId="347" priority="15" operator="equal">
      <formula>"finalizado"</formula>
    </cfRule>
    <cfRule type="cellIs" dxfId="346" priority="14" operator="equal">
      <formula>"Devuelto "</formula>
    </cfRule>
    <cfRule type="cellIs" dxfId="345" priority="13" operator="equal">
      <formula>"Devuelto"</formula>
    </cfRule>
  </conditionalFormatting>
  <conditionalFormatting sqref="AD42:AE42">
    <cfRule type="cellIs" dxfId="344" priority="9" operator="equal">
      <formula>"Devuelto "</formula>
    </cfRule>
    <cfRule type="cellIs" dxfId="343" priority="8" operator="equal">
      <formula>"Devuelto"</formula>
    </cfRule>
    <cfRule type="cellIs" dxfId="342" priority="10" operator="equal">
      <formula>"finalizado"</formula>
    </cfRule>
  </conditionalFormatting>
  <conditionalFormatting sqref="AD44:AE44">
    <cfRule type="cellIs" dxfId="341" priority="5" operator="equal">
      <formula>"finalizado"</formula>
    </cfRule>
    <cfRule type="cellIs" dxfId="340" priority="4" operator="equal">
      <formula>"Devuelto "</formula>
    </cfRule>
    <cfRule type="cellIs" dxfId="339" priority="3" operator="equal">
      <formula>"Devuelto"</formula>
    </cfRule>
  </conditionalFormatting>
  <conditionalFormatting sqref="AD45:AE45">
    <cfRule type="cellIs" dxfId="338" priority="1965" operator="equal">
      <formula>"No aplica"</formula>
    </cfRule>
  </conditionalFormatting>
  <conditionalFormatting sqref="AD13:AF19">
    <cfRule type="cellIs" dxfId="337" priority="2167" operator="equal">
      <formula>"En proceso"</formula>
    </cfRule>
  </conditionalFormatting>
  <conditionalFormatting sqref="AD16:AF19">
    <cfRule type="cellIs" dxfId="336" priority="2173" operator="equal">
      <formula>"finalizado"</formula>
    </cfRule>
    <cfRule type="cellIs" dxfId="335" priority="2172" operator="equal">
      <formula>"en proceso"</formula>
    </cfRule>
    <cfRule type="cellIs" priority="2166" operator="equal">
      <formula>"Sin Iniciar"</formula>
    </cfRule>
    <cfRule type="cellIs" dxfId="334" priority="2168" operator="equal">
      <formula>"Finalizado"</formula>
    </cfRule>
  </conditionalFormatting>
  <conditionalFormatting sqref="AD29:AF30 AD32:AF33 AD48:AF48">
    <cfRule type="cellIs" dxfId="333" priority="2933" operator="equal">
      <formula>"En proceso"</formula>
    </cfRule>
    <cfRule type="cellIs" dxfId="332" priority="2934" operator="equal">
      <formula>"Finalizado"</formula>
    </cfRule>
    <cfRule type="cellIs" priority="2932" operator="equal">
      <formula>"Sin Iniciar"</formula>
    </cfRule>
  </conditionalFormatting>
  <conditionalFormatting sqref="AD41:AF41 AE42:AF42">
    <cfRule type="cellIs" dxfId="331" priority="1975" operator="equal">
      <formula>"En proceso"</formula>
    </cfRule>
  </conditionalFormatting>
  <conditionalFormatting sqref="AD41:AF42">
    <cfRule type="cellIs" dxfId="330" priority="7" operator="equal">
      <formula>"Finalizado"</formula>
    </cfRule>
    <cfRule type="cellIs" priority="6" operator="equal">
      <formula>"Sin Iniciar"</formula>
    </cfRule>
  </conditionalFormatting>
  <conditionalFormatting sqref="AD50:AF51">
    <cfRule type="cellIs" dxfId="329" priority="2077" operator="equal">
      <formula>"No aplica"</formula>
    </cfRule>
  </conditionalFormatting>
  <conditionalFormatting sqref="AD12:AG12">
    <cfRule type="cellIs" dxfId="328" priority="2203" operator="equal">
      <formula>"Finalizado"</formula>
    </cfRule>
    <cfRule type="cellIs" dxfId="327" priority="2202" operator="equal">
      <formula>"En proceso"</formula>
    </cfRule>
    <cfRule type="cellIs" priority="2201" operator="equal">
      <formula>"Sin Iniciar"</formula>
    </cfRule>
    <cfRule type="cellIs" dxfId="326" priority="2200" operator="equal">
      <formula>"No aplica"</formula>
    </cfRule>
  </conditionalFormatting>
  <conditionalFormatting sqref="AD15:AG18">
    <cfRule type="cellIs" dxfId="325" priority="2180" operator="equal">
      <formula>"Finalizado"</formula>
    </cfRule>
    <cfRule type="cellIs" dxfId="324" priority="2179" operator="equal">
      <formula>"En proceso"</formula>
    </cfRule>
    <cfRule type="cellIs" priority="2178" operator="equal">
      <formula>"Sin Iniciar"</formula>
    </cfRule>
  </conditionalFormatting>
  <conditionalFormatting sqref="AD15:AG28">
    <cfRule type="cellIs" dxfId="323" priority="1997" operator="equal">
      <formula>"No aplica"</formula>
    </cfRule>
  </conditionalFormatting>
  <conditionalFormatting sqref="AD20:AG28">
    <cfRule type="cellIs" dxfId="322" priority="2000" operator="equal">
      <formula>"Finalizado"</formula>
    </cfRule>
    <cfRule type="cellIs" dxfId="321" priority="1999" operator="equal">
      <formula>"En proceso"</formula>
    </cfRule>
    <cfRule type="cellIs" priority="1998" operator="equal">
      <formula>"Sin Iniciar"</formula>
    </cfRule>
  </conditionalFormatting>
  <conditionalFormatting sqref="AD31:AG31">
    <cfRule type="cellIs" priority="2136" operator="equal">
      <formula>"Sin Iniciar"</formula>
    </cfRule>
    <cfRule type="cellIs" dxfId="320" priority="2135" operator="equal">
      <formula>"No aplica"</formula>
    </cfRule>
    <cfRule type="cellIs" dxfId="319" priority="2143" operator="equal">
      <formula>"finalizado"</formula>
    </cfRule>
    <cfRule type="cellIs" dxfId="318" priority="2142" operator="equal">
      <formula>"en proceso"</formula>
    </cfRule>
    <cfRule type="cellIs" dxfId="317" priority="2138" operator="equal">
      <formula>"Finalizado"</formula>
    </cfRule>
    <cfRule type="cellIs" dxfId="316" priority="2137" operator="equal">
      <formula>"En proceso"</formula>
    </cfRule>
  </conditionalFormatting>
  <conditionalFormatting sqref="AD34:AG36 AE37:AG37 AD38:AG39 AE40:AG40">
    <cfRule type="cellIs" dxfId="315" priority="1983" operator="equal">
      <formula>"En proceso"</formula>
    </cfRule>
  </conditionalFormatting>
  <conditionalFormatting sqref="AD34:AG36">
    <cfRule type="cellIs" dxfId="314" priority="2128" operator="equal">
      <formula>"No aplica"</formula>
    </cfRule>
  </conditionalFormatting>
  <conditionalFormatting sqref="AD34:AG40">
    <cfRule type="cellIs" dxfId="313" priority="12" operator="equal">
      <formula>"Finalizado"</formula>
    </cfRule>
    <cfRule type="cellIs" priority="11" operator="equal">
      <formula>"Sin Iniciar"</formula>
    </cfRule>
  </conditionalFormatting>
  <conditionalFormatting sqref="AD38:AG39">
    <cfRule type="cellIs" dxfId="312" priority="1989" operator="equal">
      <formula>"No aplica"</formula>
    </cfRule>
  </conditionalFormatting>
  <conditionalFormatting sqref="AD43:AG43 AE44:AG44 AD45:AG47">
    <cfRule type="cellIs" dxfId="311" priority="1967" operator="equal">
      <formula>"En proceso"</formula>
    </cfRule>
  </conditionalFormatting>
  <conditionalFormatting sqref="AD43:AG43">
    <cfRule type="cellIs" dxfId="310" priority="2114" operator="equal">
      <formula>"No aplica"</formula>
    </cfRule>
  </conditionalFormatting>
  <conditionalFormatting sqref="AD44:AG47">
    <cfRule type="cellIs" priority="1" operator="equal">
      <formula>"Sin Iniciar"</formula>
    </cfRule>
    <cfRule type="cellIs" dxfId="309" priority="2" operator="equal">
      <formula>"Finalizado"</formula>
    </cfRule>
  </conditionalFormatting>
  <conditionalFormatting sqref="AD46:AG47">
    <cfRule type="cellIs" dxfId="308" priority="2107" operator="equal">
      <formula>"No aplica"</formula>
    </cfRule>
  </conditionalFormatting>
  <conditionalFormatting sqref="AD49:AG49">
    <cfRule type="cellIs" dxfId="307" priority="1964" operator="equal">
      <formula>"Finalizado"</formula>
    </cfRule>
    <cfRule type="cellIs" priority="1962" operator="equal">
      <formula>"Sin Iniciar"</formula>
    </cfRule>
    <cfRule type="cellIs" dxfId="306" priority="1961" operator="equal">
      <formula>"No aplica"</formula>
    </cfRule>
  </conditionalFormatting>
  <conditionalFormatting sqref="AD49:AG71">
    <cfRule type="cellIs" dxfId="305" priority="1939" operator="equal">
      <formula>"En proceso"</formula>
    </cfRule>
  </conditionalFormatting>
  <conditionalFormatting sqref="AD50:AG51">
    <cfRule type="cellIs" dxfId="304" priority="2084" operator="equal">
      <formula>"en proceso"</formula>
    </cfRule>
  </conditionalFormatting>
  <conditionalFormatting sqref="AD52:AG56">
    <cfRule type="cellIs" dxfId="303" priority="1953" operator="equal">
      <formula>"No aplica"</formula>
    </cfRule>
  </conditionalFormatting>
  <conditionalFormatting sqref="AD52:AG71">
    <cfRule type="cellIs" dxfId="302" priority="1940" operator="equal">
      <formula>"Finalizado"</formula>
    </cfRule>
    <cfRule type="cellIs" priority="1938" operator="equal">
      <formula>"Sin Iniciar"</formula>
    </cfRule>
  </conditionalFormatting>
  <conditionalFormatting sqref="AD53:AG54">
    <cfRule type="cellIs" dxfId="301" priority="2072" operator="equal">
      <formula>"en proceso"</formula>
    </cfRule>
  </conditionalFormatting>
  <conditionalFormatting sqref="AD56:AG56">
    <cfRule type="cellIs" dxfId="300" priority="2060" operator="equal">
      <formula>"en proceso"</formula>
    </cfRule>
    <cfRule type="cellIs" dxfId="299" priority="2061" operator="equal">
      <formula>"finalizado"</formula>
    </cfRule>
  </conditionalFormatting>
  <conditionalFormatting sqref="AD59:AG62">
    <cfRule type="cellIs" dxfId="298" priority="2041" operator="equal">
      <formula>"en proceso"</formula>
    </cfRule>
    <cfRule type="cellIs" dxfId="297" priority="2042" operator="equal">
      <formula>"finalizado"</formula>
    </cfRule>
  </conditionalFormatting>
  <conditionalFormatting sqref="AD59:AG64">
    <cfRule type="cellIs" dxfId="296" priority="1949" operator="equal">
      <formula>"No aplica"</formula>
    </cfRule>
  </conditionalFormatting>
  <conditionalFormatting sqref="AD67:AG71">
    <cfRule type="cellIs" dxfId="295" priority="1937" operator="equal">
      <formula>"No aplica"</formula>
    </cfRule>
  </conditionalFormatting>
  <conditionalFormatting sqref="AD10:AH10 AK10:AR10 AT10:AU10 AG11:AH11 AL11:AR11">
    <cfRule type="cellIs" dxfId="294" priority="3284" operator="equal">
      <formula>"Devuelto"</formula>
    </cfRule>
    <cfRule type="cellIs" dxfId="293" priority="3285" operator="equal">
      <formula>"Devuelto "</formula>
    </cfRule>
  </conditionalFormatting>
  <conditionalFormatting sqref="AD10:AH10 AK10:AR10">
    <cfRule type="cellIs" dxfId="292" priority="3286" operator="equal">
      <formula>"finalizado"</formula>
    </cfRule>
  </conditionalFormatting>
  <conditionalFormatting sqref="AD16:AH18 AD29:AF30 AD31:AH36 AD41:AF41 AD46:AH48 AD56:AH62 AD65:AF65 AD66:AH69">
    <cfRule type="cellIs" dxfId="291" priority="3274" operator="equal">
      <formula>"finalizado"</formula>
    </cfRule>
  </conditionalFormatting>
  <conditionalFormatting sqref="AD16:AH18 AD20:AH23 AD28:AH28 AD31:AH36 AD46:AH48 AD53:AH54 AD56:AH62 AL60 AD64:AH64 AD66:AH69">
    <cfRule type="cellIs" priority="3251" operator="equal">
      <formula>"Sin Iniciar"</formula>
    </cfRule>
    <cfRule type="cellIs" dxfId="290" priority="3253" operator="equal">
      <formula>"Finalizado"</formula>
    </cfRule>
  </conditionalFormatting>
  <conditionalFormatting sqref="AD26:AH26 AG36 AG47:AG48 AJ60:AL61 AI61:AJ63 AI67:AJ67 AI69:AJ71">
    <cfRule type="cellIs" priority="3245" operator="equal">
      <formula>"Sin Iniciar"</formula>
    </cfRule>
    <cfRule type="cellIs" dxfId="289" priority="3247" operator="equal">
      <formula>"Finalizado"</formula>
    </cfRule>
  </conditionalFormatting>
  <conditionalFormatting sqref="AD50:AH51">
    <cfRule type="cellIs" dxfId="288" priority="2080" operator="equal">
      <formula>"Finalizado"</formula>
    </cfRule>
    <cfRule type="cellIs" priority="2078" operator="equal">
      <formula>"Sin Iniciar"</formula>
    </cfRule>
    <cfRule type="cellIs" dxfId="287" priority="2105" operator="equal">
      <formula>"Devuelto "</formula>
    </cfRule>
    <cfRule type="cellIs" dxfId="286" priority="2102" operator="equal">
      <formula>"Devuelto"</formula>
    </cfRule>
    <cfRule type="cellIs" dxfId="285" priority="2085" operator="equal">
      <formula>"finalizado"</formula>
    </cfRule>
  </conditionalFormatting>
  <conditionalFormatting sqref="AD53:AH54">
    <cfRule type="cellIs" dxfId="284" priority="2073" operator="equal">
      <formula>"finalizado"</formula>
    </cfRule>
  </conditionalFormatting>
  <conditionalFormatting sqref="AD43:AK43">
    <cfRule type="cellIs" dxfId="283" priority="2117" operator="equal">
      <formula>"Finalizado"</formula>
    </cfRule>
    <cfRule type="cellIs" priority="2115" operator="equal">
      <formula>"Sin Iniciar"</formula>
    </cfRule>
  </conditionalFormatting>
  <conditionalFormatting sqref="AD39:AL39">
    <cfRule type="cellIs" dxfId="282" priority="1544" operator="equal">
      <formula>"Devuelto"</formula>
    </cfRule>
    <cfRule type="cellIs" dxfId="281" priority="1547" operator="equal">
      <formula>"Devuelto "</formula>
    </cfRule>
  </conditionalFormatting>
  <conditionalFormatting sqref="AD39:AP39">
    <cfRule type="cellIs" dxfId="280" priority="1537" operator="equal">
      <formula>"finalizado"</formula>
    </cfRule>
  </conditionalFormatting>
  <conditionalFormatting sqref="AD39:AQ39">
    <cfRule type="cellIs" priority="1170" operator="equal">
      <formula>"Sin Iniciar"</formula>
    </cfRule>
    <cfRule type="cellIs" dxfId="279" priority="1172" operator="equal">
      <formula>"Finalizado"</formula>
    </cfRule>
  </conditionalFormatting>
  <conditionalFormatting sqref="AE13:AF14">
    <cfRule type="cellIs" dxfId="278" priority="2191" operator="equal">
      <formula>"Finalizado"</formula>
    </cfRule>
    <cfRule type="cellIs" priority="2189" operator="equal">
      <formula>"Sin Iniciar"</formula>
    </cfRule>
  </conditionalFormatting>
  <conditionalFormatting sqref="AE15:AF15 AD17:AG18 AD20:AG23 AD26:AG26 AD28:AG28 AD34:AG36 AD39:AG39 AD43:AG43 AD46:AG47 AD64:AG64 AD67:AG69">
    <cfRule type="cellIs" dxfId="277" priority="2921" operator="equal">
      <formula>"en proceso"</formula>
    </cfRule>
  </conditionalFormatting>
  <conditionalFormatting sqref="AE13:AG14">
    <cfRule type="cellIs" dxfId="276" priority="2184" operator="equal">
      <formula>"No aplica"</formula>
    </cfRule>
  </conditionalFormatting>
  <conditionalFormatting sqref="AE15:AH15 AD17:AG18 AD20:AH23 AD26:AH26 AD28:AH28 AD34:AG36 AD43:AH43 AD46:AG47 AD64:AH64 AD67:AG69">
    <cfRule type="cellIs" dxfId="275" priority="2922" operator="equal">
      <formula>"finalizado"</formula>
    </cfRule>
  </conditionalFormatting>
  <conditionalFormatting sqref="AE15:AH15">
    <cfRule type="cellIs" priority="2918" operator="equal">
      <formula>"Sin Iniciar"</formula>
    </cfRule>
    <cfRule type="cellIs" dxfId="274" priority="2920" operator="equal">
      <formula>"Finalizado"</formula>
    </cfRule>
  </conditionalFormatting>
  <conditionalFormatting sqref="AF42">
    <cfRule type="cellIs" dxfId="273" priority="1973" operator="equal">
      <formula>"No aplica"</formula>
    </cfRule>
  </conditionalFormatting>
  <conditionalFormatting sqref="AF37:AG37">
    <cfRule type="cellIs" dxfId="272" priority="1985" operator="equal">
      <formula>"No aplica"</formula>
    </cfRule>
  </conditionalFormatting>
  <conditionalFormatting sqref="AF40:AG40">
    <cfRule type="cellIs" dxfId="271" priority="1981" operator="equal">
      <formula>"No aplica"</formula>
    </cfRule>
  </conditionalFormatting>
  <conditionalFormatting sqref="AF44:AG45">
    <cfRule type="cellIs" dxfId="270" priority="1969" operator="equal">
      <formula>"No aplica"</formula>
    </cfRule>
  </conditionalFormatting>
  <conditionalFormatting sqref="AG13:AG17">
    <cfRule type="cellIs" dxfId="269" priority="2187" operator="equal">
      <formula>"Finalizado"</formula>
    </cfRule>
    <cfRule type="cellIs" dxfId="268" priority="2186" operator="equal">
      <formula>"En proceso"</formula>
    </cfRule>
    <cfRule type="cellIs" priority="2185" operator="equal">
      <formula>"Sin Iniciar"</formula>
    </cfRule>
  </conditionalFormatting>
  <conditionalFormatting sqref="AG19:AG23">
    <cfRule type="cellIs" dxfId="267" priority="2007" operator="equal">
      <formula>"En proceso"</formula>
    </cfRule>
    <cfRule type="cellIs" priority="2006" operator="equal">
      <formula>"Sin Iniciar"</formula>
    </cfRule>
    <cfRule type="cellIs" dxfId="266" priority="2008" operator="equal">
      <formula>"Finalizado"</formula>
    </cfRule>
  </conditionalFormatting>
  <conditionalFormatting sqref="AG26 AG36 AG39 AG47:AG48 AJ60:AL61 AI61:AJ63 AI67:AJ67 AI69:AJ71">
    <cfRule type="cellIs" dxfId="265" priority="3246" operator="equal">
      <formula>"En proceso"</formula>
    </cfRule>
  </conditionalFormatting>
  <conditionalFormatting sqref="AG28:AG34">
    <cfRule type="cellIs" dxfId="264" priority="1996" operator="equal">
      <formula>"Finalizado"</formula>
    </cfRule>
    <cfRule type="cellIs" dxfId="263" priority="1995" operator="equal">
      <formula>"En proceso"</formula>
    </cfRule>
    <cfRule type="cellIs" priority="1994" operator="equal">
      <formula>"Sin Iniciar"</formula>
    </cfRule>
  </conditionalFormatting>
  <conditionalFormatting sqref="AG29:AG30">
    <cfRule type="cellIs" dxfId="262" priority="1993" operator="equal">
      <formula>"No aplica"</formula>
    </cfRule>
  </conditionalFormatting>
  <conditionalFormatting sqref="AG41:AG42">
    <cfRule type="cellIs" dxfId="261" priority="1977" operator="equal">
      <formula>"No aplica"</formula>
    </cfRule>
  </conditionalFormatting>
  <conditionalFormatting sqref="AG41:AG43">
    <cfRule type="cellIs" priority="1978" operator="equal">
      <formula>"Sin Iniciar"</formula>
    </cfRule>
    <cfRule type="cellIs" dxfId="260" priority="1979" operator="equal">
      <formula>"En proceso"</formula>
    </cfRule>
    <cfRule type="cellIs" dxfId="259" priority="1980" operator="equal">
      <formula>"Finalizado"</formula>
    </cfRule>
  </conditionalFormatting>
  <conditionalFormatting sqref="AG65">
    <cfRule type="cellIs" dxfId="258" priority="1945" operator="equal">
      <formula>"No aplica"</formula>
    </cfRule>
  </conditionalFormatting>
  <conditionalFormatting sqref="AH12:AH71 AE15:AH15 AD16:AH18 AD19:AF19 AD20:AH23 AS23 AD26:AH26 AD28:AH28 AS29 AD29:AF30 AD31:AH36 AD41:AF41 AD43:AH43 AD46:AH48 AD53:AH54 AM56:AR61 AD56:AH62 AL60 AD64:AH64 AD65:AF65 AD66:AH69">
    <cfRule type="cellIs" dxfId="257" priority="3273" operator="equal">
      <formula>"Devuelto "</formula>
    </cfRule>
    <cfRule type="cellIs" dxfId="256" priority="3252" operator="equal">
      <formula>"Devuelto"</formula>
    </cfRule>
  </conditionalFormatting>
  <conditionalFormatting sqref="AH12:AH71">
    <cfRule type="cellIs" dxfId="255" priority="1933" operator="equal">
      <formula>"finalizado"</formula>
    </cfRule>
    <cfRule type="cellIs" dxfId="254" priority="1925" operator="equal">
      <formula>"No aplica"</formula>
    </cfRule>
    <cfRule type="cellIs" dxfId="253" priority="1932" operator="equal">
      <formula>"en proceso"</formula>
    </cfRule>
    <cfRule type="cellIs" dxfId="252" priority="1928" operator="equal">
      <formula>"Finalizado"</formula>
    </cfRule>
    <cfRule type="cellIs" dxfId="251" priority="1927" operator="equal">
      <formula>"En proceso"</formula>
    </cfRule>
    <cfRule type="cellIs" priority="1926" operator="equal">
      <formula>"Sin Iniciar"</formula>
    </cfRule>
  </conditionalFormatting>
  <conditionalFormatting sqref="AI12">
    <cfRule type="cellIs" dxfId="250" priority="381" operator="equal">
      <formula>"Devuelto"</formula>
    </cfRule>
    <cfRule type="cellIs" dxfId="249" priority="374" operator="equal">
      <formula>"finalizado"</formula>
    </cfRule>
    <cfRule type="cellIs" dxfId="248" priority="373" operator="equal">
      <formula>"en proceso"</formula>
    </cfRule>
    <cfRule type="cellIs" dxfId="247" priority="384" operator="equal">
      <formula>"Devuelto "</formula>
    </cfRule>
  </conditionalFormatting>
  <conditionalFormatting sqref="AI12:AI30">
    <cfRule type="cellIs" dxfId="246" priority="366" operator="equal">
      <formula>"No aplica"</formula>
    </cfRule>
  </conditionalFormatting>
  <conditionalFormatting sqref="AI14:AI29">
    <cfRule type="cellIs" dxfId="245" priority="1852" operator="equal">
      <formula>"en proceso"</formula>
    </cfRule>
    <cfRule type="cellIs" dxfId="244" priority="1853" operator="equal">
      <formula>"finalizado"</formula>
    </cfRule>
    <cfRule type="cellIs" dxfId="243" priority="1860" operator="equal">
      <formula>"Devuelto"</formula>
    </cfRule>
    <cfRule type="cellIs" dxfId="242" priority="1863" operator="equal">
      <formula>"Devuelto "</formula>
    </cfRule>
  </conditionalFormatting>
  <conditionalFormatting sqref="AI41">
    <cfRule type="cellIs" dxfId="241" priority="1653" operator="equal">
      <formula>"No aplica"</formula>
    </cfRule>
  </conditionalFormatting>
  <conditionalFormatting sqref="AI56:AI59">
    <cfRule type="cellIs" dxfId="240" priority="1436" operator="equal">
      <formula>"en proceso"</formula>
    </cfRule>
    <cfRule type="cellIs" dxfId="239" priority="1437" operator="equal">
      <formula>"finalizado"</formula>
    </cfRule>
    <cfRule type="cellIs" dxfId="238" priority="1444" operator="equal">
      <formula>"Devuelto"</formula>
    </cfRule>
    <cfRule type="cellIs" dxfId="237" priority="1447" operator="equal">
      <formula>"Devuelto "</formula>
    </cfRule>
  </conditionalFormatting>
  <conditionalFormatting sqref="AI64:AI66">
    <cfRule type="cellIs" dxfId="236" priority="1416" operator="equal">
      <formula>"en proceso"</formula>
    </cfRule>
    <cfRule type="cellIs" dxfId="235" priority="1412" operator="equal">
      <formula>"Finalizado"</formula>
    </cfRule>
    <cfRule type="cellIs" priority="1410" operator="equal">
      <formula>"Sin Iniciar"</formula>
    </cfRule>
    <cfRule type="cellIs" dxfId="234" priority="1427" operator="equal">
      <formula>"Devuelto "</formula>
    </cfRule>
    <cfRule type="cellIs" dxfId="233" priority="1424" operator="equal">
      <formula>"Devuelto"</formula>
    </cfRule>
    <cfRule type="cellIs" dxfId="232" priority="1417" operator="equal">
      <formula>"finalizado"</formula>
    </cfRule>
    <cfRule type="cellIs" dxfId="231" priority="1409" operator="equal">
      <formula>"No aplica"</formula>
    </cfRule>
    <cfRule type="cellIs" dxfId="230" priority="1411" operator="equal">
      <formula>"En proceso"</formula>
    </cfRule>
  </conditionalFormatting>
  <conditionalFormatting sqref="AI68">
    <cfRule type="cellIs" dxfId="229" priority="1369" operator="equal">
      <formula>"No aplica"</formula>
    </cfRule>
    <cfRule type="cellIs" dxfId="228" priority="1384" operator="equal">
      <formula>"Devuelto"</formula>
    </cfRule>
    <cfRule type="cellIs" dxfId="227" priority="1387" operator="equal">
      <formula>"Devuelto "</formula>
    </cfRule>
    <cfRule type="cellIs" dxfId="226" priority="1377" operator="equal">
      <formula>"finalizado"</formula>
    </cfRule>
    <cfRule type="cellIs" dxfId="225" priority="1376" operator="equal">
      <formula>"en proceso"</formula>
    </cfRule>
    <cfRule type="cellIs" dxfId="224" priority="1372" operator="equal">
      <formula>"Finalizado"</formula>
    </cfRule>
    <cfRule type="cellIs" dxfId="223" priority="1371" operator="equal">
      <formula>"En proceso"</formula>
    </cfRule>
    <cfRule type="cellIs" priority="1370" operator="equal">
      <formula>"Sin Iniciar"</formula>
    </cfRule>
  </conditionalFormatting>
  <conditionalFormatting sqref="AI32:AJ33">
    <cfRule type="cellIs" dxfId="222" priority="1576" operator="equal">
      <formula>"en proceso"</formula>
    </cfRule>
    <cfRule type="cellIs" dxfId="221" priority="1577" operator="equal">
      <formula>"finalizado"</formula>
    </cfRule>
    <cfRule type="cellIs" dxfId="220" priority="1584" operator="equal">
      <formula>"Devuelto"</formula>
    </cfRule>
    <cfRule type="cellIs" dxfId="219" priority="1587" operator="equal">
      <formula>"Devuelto "</formula>
    </cfRule>
  </conditionalFormatting>
  <conditionalFormatting sqref="AI48:AJ48">
    <cfRule type="cellIs" dxfId="218" priority="1487" operator="equal">
      <formula>"Devuelto "</formula>
    </cfRule>
    <cfRule type="cellIs" dxfId="217" priority="1476" operator="equal">
      <formula>"en proceso"</formula>
    </cfRule>
    <cfRule type="cellIs" dxfId="216" priority="1477" operator="equal">
      <formula>"finalizado"</formula>
    </cfRule>
    <cfRule type="cellIs" dxfId="215" priority="1484" operator="equal">
      <formula>"Devuelto"</formula>
    </cfRule>
  </conditionalFormatting>
  <conditionalFormatting sqref="AI56:AJ59">
    <cfRule type="cellIs" dxfId="214" priority="1429" operator="equal">
      <formula>"No aplica"</formula>
    </cfRule>
  </conditionalFormatting>
  <conditionalFormatting sqref="AI12:AK31">
    <cfRule type="cellIs" priority="327" operator="equal">
      <formula>"Sin Iniciar"</formula>
    </cfRule>
    <cfRule type="cellIs" dxfId="213" priority="329" operator="equal">
      <formula>"Finalizado"</formula>
    </cfRule>
    <cfRule type="cellIs" dxfId="212" priority="328" operator="equal">
      <formula>"En proceso"</formula>
    </cfRule>
  </conditionalFormatting>
  <conditionalFormatting sqref="AI44:AK44">
    <cfRule type="cellIs" dxfId="211" priority="1512" operator="equal">
      <formula>"Finalizado"</formula>
    </cfRule>
    <cfRule type="cellIs" priority="1510" operator="equal">
      <formula>"Sin Iniciar"</formula>
    </cfRule>
    <cfRule type="cellIs" dxfId="210" priority="1509" operator="equal">
      <formula>"No aplica"</formula>
    </cfRule>
  </conditionalFormatting>
  <conditionalFormatting sqref="AI32:AL33">
    <cfRule type="cellIs" dxfId="209" priority="1549" operator="equal">
      <formula>"No aplica"</formula>
    </cfRule>
  </conditionalFormatting>
  <conditionalFormatting sqref="AI39:AL39">
    <cfRule type="cellIs" dxfId="208" priority="1529" operator="equal">
      <formula>"No aplica"</formula>
    </cfRule>
  </conditionalFormatting>
  <conditionalFormatting sqref="AI47:AL47">
    <cfRule type="cellIs" dxfId="207" priority="1497" operator="equal">
      <formula>"finalizado"</formula>
    </cfRule>
    <cfRule type="cellIs" dxfId="206" priority="1496" operator="equal">
      <formula>"en proceso"</formula>
    </cfRule>
    <cfRule type="cellIs" dxfId="205" priority="1507" operator="equal">
      <formula>"Devuelto "</formula>
    </cfRule>
    <cfRule type="cellIs" dxfId="204" priority="1504" operator="equal">
      <formula>"Devuelto"</formula>
    </cfRule>
  </conditionalFormatting>
  <conditionalFormatting sqref="AI47:AL48">
    <cfRule type="cellIs" dxfId="203" priority="1449" operator="equal">
      <formula>"No aplica"</formula>
    </cfRule>
  </conditionalFormatting>
  <conditionalFormatting sqref="AI56:AL59">
    <cfRule type="cellIs" priority="1430" operator="equal">
      <formula>"Sin Iniciar"</formula>
    </cfRule>
    <cfRule type="cellIs" dxfId="202" priority="1431" operator="equal">
      <formula>"En proceso"</formula>
    </cfRule>
    <cfRule type="cellIs" dxfId="201" priority="1432" operator="equal">
      <formula>"Finalizado"</formula>
    </cfRule>
  </conditionalFormatting>
  <conditionalFormatting sqref="AI39:AP39">
    <cfRule type="cellIs" dxfId="200" priority="1536" operator="equal">
      <formula>"en proceso"</formula>
    </cfRule>
  </conditionalFormatting>
  <conditionalFormatting sqref="AI32:AQ34">
    <cfRule type="cellIs" dxfId="199" priority="1043" operator="equal">
      <formula>"En proceso"</formula>
    </cfRule>
    <cfRule type="cellIs" priority="1042" operator="equal">
      <formula>"Sin Iniciar"</formula>
    </cfRule>
    <cfRule type="cellIs" dxfId="198" priority="1044" operator="equal">
      <formula>"Finalizado"</formula>
    </cfRule>
  </conditionalFormatting>
  <conditionalFormatting sqref="AI38:AQ38">
    <cfRule type="cellIs" priority="1002" operator="equal">
      <formula>"Sin Iniciar"</formula>
    </cfRule>
    <cfRule type="cellIs" dxfId="197" priority="1004" operator="equal">
      <formula>"Finalizado"</formula>
    </cfRule>
  </conditionalFormatting>
  <conditionalFormatting sqref="AI40:AQ41">
    <cfRule type="cellIs" priority="982" operator="equal">
      <formula>"Sin Iniciar"</formula>
    </cfRule>
    <cfRule type="cellIs" dxfId="196" priority="984" operator="equal">
      <formula>"Finalizado"</formula>
    </cfRule>
  </conditionalFormatting>
  <conditionalFormatting sqref="AI35:AR37">
    <cfRule type="cellIs" priority="802" operator="equal">
      <formula>"Sin Iniciar"</formula>
    </cfRule>
    <cfRule type="cellIs" dxfId="195" priority="804" operator="equal">
      <formula>"Finalizado"</formula>
    </cfRule>
  </conditionalFormatting>
  <conditionalFormatting sqref="AI35:AR55">
    <cfRule type="cellIs" dxfId="194" priority="723" operator="equal">
      <formula>"En proceso"</formula>
    </cfRule>
  </conditionalFormatting>
  <conditionalFormatting sqref="AI42:AR42">
    <cfRule type="cellIs" priority="1262" operator="equal">
      <formula>"Sin Iniciar"</formula>
    </cfRule>
    <cfRule type="cellIs" dxfId="193" priority="1264" operator="equal">
      <formula>"Finalizado"</formula>
    </cfRule>
  </conditionalFormatting>
  <conditionalFormatting sqref="AI45:AR55">
    <cfRule type="cellIs" priority="722" operator="equal">
      <formula>"Sin Iniciar"</formula>
    </cfRule>
    <cfRule type="cellIs" dxfId="192" priority="724" operator="equal">
      <formula>"Finalizado"</formula>
    </cfRule>
  </conditionalFormatting>
  <conditionalFormatting sqref="AJ12:AJ29">
    <cfRule type="cellIs" dxfId="191" priority="361" operator="equal">
      <formula>"Devuelto"</formula>
    </cfRule>
    <cfRule type="cellIs" dxfId="190" priority="354" operator="equal">
      <formula>"finalizado"</formula>
    </cfRule>
    <cfRule type="cellIs" dxfId="189" priority="364" operator="equal">
      <formula>"Devuelto "</formula>
    </cfRule>
    <cfRule type="cellIs" dxfId="188" priority="353" operator="equal">
      <formula>"en proceso"</formula>
    </cfRule>
    <cfRule type="cellIs" dxfId="187" priority="346" operator="equal">
      <formula>"No aplica"</formula>
    </cfRule>
  </conditionalFormatting>
  <conditionalFormatting sqref="AJ44">
    <cfRule type="cellIs" dxfId="186" priority="1516" operator="equal">
      <formula>"en proceso"</formula>
    </cfRule>
    <cfRule type="cellIs" dxfId="185" priority="1517" operator="equal">
      <formula>"finalizado"</formula>
    </cfRule>
    <cfRule type="cellIs" dxfId="184" priority="1527" operator="equal">
      <formula>"Devuelto "</formula>
    </cfRule>
    <cfRule type="cellIs" dxfId="183" priority="1524" operator="equal">
      <formula>"Devuelto"</formula>
    </cfRule>
  </conditionalFormatting>
  <conditionalFormatting sqref="AJ65">
    <cfRule type="cellIs" dxfId="182" priority="1407" operator="equal">
      <formula>"Devuelto "</formula>
    </cfRule>
    <cfRule type="cellIs" dxfId="181" priority="1404" operator="equal">
      <formula>"Devuelto"</formula>
    </cfRule>
    <cfRule type="cellIs" dxfId="180" priority="1397" operator="equal">
      <formula>"finalizado"</formula>
    </cfRule>
    <cfRule type="cellIs" dxfId="179" priority="1396" operator="equal">
      <formula>"en proceso"</formula>
    </cfRule>
  </conditionalFormatting>
  <conditionalFormatting sqref="AJ62:AR71">
    <cfRule type="cellIs" priority="682" operator="equal">
      <formula>"Sin Iniciar"</formula>
    </cfRule>
    <cfRule type="cellIs" dxfId="178" priority="683" operator="equal">
      <formula>"En proceso"</formula>
    </cfRule>
    <cfRule type="cellIs" dxfId="177" priority="684" operator="equal">
      <formula>"Finalizado"</formula>
    </cfRule>
  </conditionalFormatting>
  <conditionalFormatting sqref="AJ65:AR65">
    <cfRule type="cellIs" dxfId="176" priority="681" operator="equal">
      <formula>"No aplica"</formula>
    </cfRule>
  </conditionalFormatting>
  <conditionalFormatting sqref="AK12:AK30">
    <cfRule type="cellIs" dxfId="175" priority="326" operator="equal">
      <formula>"No aplica"</formula>
    </cfRule>
  </conditionalFormatting>
  <conditionalFormatting sqref="AK14:AK28">
    <cfRule type="cellIs" dxfId="174" priority="1833" operator="equal">
      <formula>"finalizado"</formula>
    </cfRule>
    <cfRule type="cellIs" dxfId="173" priority="1832" operator="equal">
      <formula>"en proceso"</formula>
    </cfRule>
    <cfRule type="cellIs" dxfId="172" priority="1843" operator="equal">
      <formula>"Devuelto "</formula>
    </cfRule>
    <cfRule type="cellIs" dxfId="171" priority="1840" operator="equal">
      <formula>"Devuelto"</formula>
    </cfRule>
  </conditionalFormatting>
  <conditionalFormatting sqref="AK41">
    <cfRule type="cellIs" dxfId="170" priority="1645" operator="equal">
      <formula>"No aplica"</formula>
    </cfRule>
  </conditionalFormatting>
  <conditionalFormatting sqref="AK12:AQ12">
    <cfRule type="cellIs" dxfId="169" priority="213" operator="equal">
      <formula>"en proceso"</formula>
    </cfRule>
    <cfRule type="cellIs" dxfId="168" priority="224" operator="equal">
      <formula>"Devuelto "</formula>
    </cfRule>
    <cfRule type="cellIs" dxfId="167" priority="214" operator="equal">
      <formula>"finalizado"</formula>
    </cfRule>
    <cfRule type="cellIs" dxfId="166" priority="221" operator="equal">
      <formula>"Devuelto"</formula>
    </cfRule>
  </conditionalFormatting>
  <conditionalFormatting sqref="AL29">
    <cfRule type="cellIs" dxfId="165" priority="1589" operator="equal">
      <formula>"No aplica"</formula>
    </cfRule>
    <cfRule type="cellIs" dxfId="164" priority="1596" operator="equal">
      <formula>"en proceso"</formula>
    </cfRule>
  </conditionalFormatting>
  <conditionalFormatting sqref="AL32:AL33">
    <cfRule type="cellIs" dxfId="163" priority="1564" operator="equal">
      <formula>"Devuelto"</formula>
    </cfRule>
    <cfRule type="cellIs" dxfId="162" priority="1567" operator="equal">
      <formula>"Devuelto "</formula>
    </cfRule>
  </conditionalFormatting>
  <conditionalFormatting sqref="AL48">
    <cfRule type="cellIs" dxfId="161" priority="1464" operator="equal">
      <formula>"Devuelto"</formula>
    </cfRule>
    <cfRule type="cellIs" dxfId="160" priority="1467" operator="equal">
      <formula>"Devuelto "</formula>
    </cfRule>
  </conditionalFormatting>
  <conditionalFormatting sqref="AL48:AL49">
    <cfRule type="cellIs" dxfId="159" priority="1457" operator="equal">
      <formula>"finalizado"</formula>
    </cfRule>
    <cfRule type="cellIs" dxfId="158" priority="1456" operator="equal">
      <formula>"en proceso"</formula>
    </cfRule>
  </conditionalFormatting>
  <conditionalFormatting sqref="AL29:AP29">
    <cfRule type="cellIs" dxfId="157" priority="1604" operator="equal">
      <formula>"Devuelto"</formula>
    </cfRule>
    <cfRule type="cellIs" dxfId="156" priority="1607" operator="equal">
      <formula>"Devuelto "</formula>
    </cfRule>
    <cfRule type="cellIs" dxfId="155" priority="1597" operator="equal">
      <formula>"finalizado"</formula>
    </cfRule>
  </conditionalFormatting>
  <conditionalFormatting sqref="AL32:AP33">
    <cfRule type="cellIs" dxfId="154" priority="1557" operator="equal">
      <formula>"finalizado"</formula>
    </cfRule>
    <cfRule type="cellIs" dxfId="153" priority="1556" operator="equal">
      <formula>"en proceso"</formula>
    </cfRule>
  </conditionalFormatting>
  <conditionalFormatting sqref="AL13:AQ13">
    <cfRule type="cellIs" dxfId="152" priority="1149" operator="equal">
      <formula>"finalizado"</formula>
    </cfRule>
    <cfRule type="cellIs" dxfId="151" priority="1148" operator="equal">
      <formula>"en proceso"</formula>
    </cfRule>
    <cfRule type="cellIs" dxfId="150" priority="1156" operator="equal">
      <formula>"Devuelto"</formula>
    </cfRule>
    <cfRule type="cellIs" dxfId="149" priority="1159" operator="equal">
      <formula>"Devuelto "</formula>
    </cfRule>
  </conditionalFormatting>
  <conditionalFormatting sqref="AL26:AQ28">
    <cfRule type="cellIs" dxfId="148" priority="1099" operator="equal">
      <formula>"Devuelto "</formula>
    </cfRule>
    <cfRule type="cellIs" dxfId="147" priority="1096" operator="equal">
      <formula>"Devuelto"</formula>
    </cfRule>
    <cfRule type="cellIs" dxfId="146" priority="1089" operator="equal">
      <formula>"finalizado"</formula>
    </cfRule>
    <cfRule type="cellIs" dxfId="145" priority="1088" operator="equal">
      <formula>"en proceso"</formula>
    </cfRule>
    <cfRule type="cellIs" dxfId="144" priority="1081" operator="equal">
      <formula>"No aplica"</formula>
    </cfRule>
  </conditionalFormatting>
  <conditionalFormatting sqref="AL26:AQ31">
    <cfRule type="cellIs" dxfId="143" priority="1064" operator="equal">
      <formula>"Finalizado"</formula>
    </cfRule>
    <cfRule type="cellIs" dxfId="142" priority="1063" operator="equal">
      <formula>"En proceso"</formula>
    </cfRule>
    <cfRule type="cellIs" priority="1062" operator="equal">
      <formula>"Sin Iniciar"</formula>
    </cfRule>
  </conditionalFormatting>
  <conditionalFormatting sqref="AL30:AQ31">
    <cfRule type="cellIs" dxfId="141" priority="1069" operator="equal">
      <formula>"finalizado"</formula>
    </cfRule>
    <cfRule type="cellIs" dxfId="140" priority="1068" operator="equal">
      <formula>"en proceso"</formula>
    </cfRule>
    <cfRule type="cellIs" dxfId="139" priority="1061" operator="equal">
      <formula>"No aplica"</formula>
    </cfRule>
    <cfRule type="cellIs" dxfId="138" priority="1079" operator="equal">
      <formula>"Devuelto "</formula>
    </cfRule>
    <cfRule type="cellIs" dxfId="137" priority="1076" operator="equal">
      <formula>"Devuelto"</formula>
    </cfRule>
  </conditionalFormatting>
  <conditionalFormatting sqref="AL34:AQ34">
    <cfRule type="cellIs" dxfId="136" priority="1056" operator="equal">
      <formula>"Devuelto"</formula>
    </cfRule>
    <cfRule type="cellIs" dxfId="135" priority="1048" operator="equal">
      <formula>"en proceso"</formula>
    </cfRule>
    <cfRule type="cellIs" dxfId="134" priority="1041" operator="equal">
      <formula>"No aplica"</formula>
    </cfRule>
    <cfRule type="cellIs" dxfId="133" priority="1059" operator="equal">
      <formula>"Devuelto "</formula>
    </cfRule>
    <cfRule type="cellIs" dxfId="132" priority="1049" operator="equal">
      <formula>"finalizado"</formula>
    </cfRule>
  </conditionalFormatting>
  <conditionalFormatting sqref="AL38:AQ38">
    <cfRule type="cellIs" dxfId="131" priority="1019" operator="equal">
      <formula>"Devuelto "</formula>
    </cfRule>
    <cfRule type="cellIs" dxfId="130" priority="1016" operator="equal">
      <formula>"Devuelto"</formula>
    </cfRule>
    <cfRule type="cellIs" dxfId="129" priority="1009" operator="equal">
      <formula>"finalizado"</formula>
    </cfRule>
    <cfRule type="cellIs" dxfId="128" priority="1008" operator="equal">
      <formula>"en proceso"</formula>
    </cfRule>
    <cfRule type="cellIs" dxfId="127" priority="1001" operator="equal">
      <formula>"No aplica"</formula>
    </cfRule>
  </conditionalFormatting>
  <conditionalFormatting sqref="AL40:AQ41">
    <cfRule type="cellIs" dxfId="126" priority="999" operator="equal">
      <formula>"Devuelto "</formula>
    </cfRule>
    <cfRule type="cellIs" dxfId="125" priority="996" operator="equal">
      <formula>"Devuelto"</formula>
    </cfRule>
    <cfRule type="cellIs" dxfId="124" priority="989" operator="equal">
      <formula>"finalizado"</formula>
    </cfRule>
    <cfRule type="cellIs" dxfId="123" priority="981" operator="equal">
      <formula>"No aplica"</formula>
    </cfRule>
    <cfRule type="cellIs" dxfId="122" priority="988" operator="equal">
      <formula>"en proceso"</formula>
    </cfRule>
  </conditionalFormatting>
  <conditionalFormatting sqref="AL12:AR13">
    <cfRule type="cellIs" dxfId="121" priority="186" operator="equal">
      <formula>"No aplica"</formula>
    </cfRule>
  </conditionalFormatting>
  <conditionalFormatting sqref="AL12:AR25">
    <cfRule type="cellIs" priority="187" operator="equal">
      <formula>"Sin Iniciar"</formula>
    </cfRule>
    <cfRule type="cellIs" dxfId="120" priority="188" operator="equal">
      <formula>"En proceso"</formula>
    </cfRule>
    <cfRule type="cellIs" dxfId="119" priority="189" operator="equal">
      <formula>"Finalizado"</formula>
    </cfRule>
  </conditionalFormatting>
  <conditionalFormatting sqref="AL14:AR25">
    <cfRule type="cellIs" dxfId="118" priority="848" operator="equal">
      <formula>"en proceso"</formula>
    </cfRule>
    <cfRule type="cellIs" dxfId="117" priority="849" operator="equal">
      <formula>"finalizado"</formula>
    </cfRule>
  </conditionalFormatting>
  <conditionalFormatting sqref="AL15:AR17">
    <cfRule type="cellIs" dxfId="116" priority="861" operator="equal">
      <formula>"No aplica"</formula>
    </cfRule>
    <cfRule type="cellIs" dxfId="115" priority="876" operator="equal">
      <formula>"Devuelto"</formula>
    </cfRule>
    <cfRule type="cellIs" dxfId="114" priority="879" operator="equal">
      <formula>"Devuelto "</formula>
    </cfRule>
  </conditionalFormatting>
  <conditionalFormatting sqref="AL19:AR24">
    <cfRule type="cellIs" dxfId="113" priority="841" operator="equal">
      <formula>"No aplica"</formula>
    </cfRule>
    <cfRule type="cellIs" dxfId="112" priority="856" operator="equal">
      <formula>"Devuelto"</formula>
    </cfRule>
    <cfRule type="cellIs" dxfId="111" priority="859" operator="equal">
      <formula>"Devuelto "</formula>
    </cfRule>
  </conditionalFormatting>
  <conditionalFormatting sqref="AL35:AR37">
    <cfRule type="cellIs" dxfId="110" priority="808" operator="equal">
      <formula>"en proceso"</formula>
    </cfRule>
    <cfRule type="cellIs" dxfId="109" priority="809" operator="equal">
      <formula>"finalizado"</formula>
    </cfRule>
  </conditionalFormatting>
  <conditionalFormatting sqref="AL36:AR36">
    <cfRule type="cellIs" dxfId="108" priority="819" operator="equal">
      <formula>"Devuelto "</formula>
    </cfRule>
    <cfRule type="cellIs" dxfId="107" priority="816" operator="equal">
      <formula>"Devuelto"</formula>
    </cfRule>
    <cfRule type="cellIs" dxfId="106" priority="801" operator="equal">
      <formula>"No aplica"</formula>
    </cfRule>
  </conditionalFormatting>
  <conditionalFormatting sqref="AL42:AR46">
    <cfRule type="cellIs" dxfId="105" priority="769" operator="equal">
      <formula>"finalizado"</formula>
    </cfRule>
    <cfRule type="cellIs" dxfId="104" priority="768" operator="equal">
      <formula>"en proceso"</formula>
    </cfRule>
  </conditionalFormatting>
  <conditionalFormatting sqref="AL43:AR44">
    <cfRule type="cellIs" dxfId="103" priority="779" operator="equal">
      <formula>"Devuelto "</formula>
    </cfRule>
    <cfRule type="cellIs" dxfId="102" priority="776" operator="equal">
      <formula>"Devuelto"</formula>
    </cfRule>
    <cfRule type="cellIs" dxfId="101" priority="764" operator="equal">
      <formula>"Finalizado"</formula>
    </cfRule>
    <cfRule type="cellIs" priority="762" operator="equal">
      <formula>"Sin Iniciar"</formula>
    </cfRule>
    <cfRule type="cellIs" dxfId="100" priority="761" operator="equal">
      <formula>"No aplica"</formula>
    </cfRule>
  </conditionalFormatting>
  <conditionalFormatting sqref="AL50:AR55">
    <cfRule type="cellIs" dxfId="99" priority="736" operator="equal">
      <formula>"Devuelto"</formula>
    </cfRule>
    <cfRule type="cellIs" dxfId="98" priority="721" operator="equal">
      <formula>"No aplica"</formula>
    </cfRule>
    <cfRule type="cellIs" dxfId="97" priority="739" operator="equal">
      <formula>"Devuelto "</formula>
    </cfRule>
  </conditionalFormatting>
  <conditionalFormatting sqref="AL50:AR64">
    <cfRule type="cellIs" dxfId="96" priority="708" operator="equal">
      <formula>"en proceso"</formula>
    </cfRule>
    <cfRule type="cellIs" dxfId="95" priority="709" operator="equal">
      <formula>"finalizado"</formula>
    </cfRule>
  </conditionalFormatting>
  <conditionalFormatting sqref="AL62:AR62">
    <cfRule type="cellIs" dxfId="94" priority="701" operator="equal">
      <formula>"No aplica"</formula>
    </cfRule>
    <cfRule type="cellIs" dxfId="93" priority="719" operator="equal">
      <formula>"Devuelto "</formula>
    </cfRule>
    <cfRule type="cellIs" dxfId="92" priority="716" operator="equal">
      <formula>"Devuelto"</formula>
    </cfRule>
  </conditionalFormatting>
  <conditionalFormatting sqref="AL66:AR71">
    <cfRule type="cellIs" dxfId="91" priority="1184" operator="equal">
      <formula>"en proceso"</formula>
    </cfRule>
    <cfRule type="cellIs" dxfId="90" priority="1185" operator="equal">
      <formula>"finalizado"</formula>
    </cfRule>
  </conditionalFormatting>
  <conditionalFormatting sqref="AM14:AR14">
    <cfRule type="cellIs" dxfId="89" priority="1367" operator="equal">
      <formula>"Devuelto "</formula>
    </cfRule>
    <cfRule type="cellIs" dxfId="88" priority="1364" operator="equal">
      <formula>"Devuelto"</formula>
    </cfRule>
    <cfRule type="cellIs" dxfId="87" priority="1351" operator="equal">
      <formula>"No aplica"</formula>
    </cfRule>
  </conditionalFormatting>
  <conditionalFormatting sqref="AM18:AR18">
    <cfRule type="cellIs" dxfId="86" priority="1349" operator="equal">
      <formula>"Devuelto "</formula>
    </cfRule>
    <cfRule type="cellIs" dxfId="85" priority="1346" operator="equal">
      <formula>"Devuelto"</formula>
    </cfRule>
    <cfRule type="cellIs" dxfId="84" priority="1333" operator="equal">
      <formula>"No aplica"</formula>
    </cfRule>
  </conditionalFormatting>
  <conditionalFormatting sqref="AM25:AR25">
    <cfRule type="cellIs" dxfId="83" priority="1331" operator="equal">
      <formula>"Devuelto "</formula>
    </cfRule>
    <cfRule type="cellIs" dxfId="82" priority="1328" operator="equal">
      <formula>"Devuelto"</formula>
    </cfRule>
    <cfRule type="cellIs" dxfId="81" priority="1315" operator="equal">
      <formula>"No aplica"</formula>
    </cfRule>
  </conditionalFormatting>
  <conditionalFormatting sqref="AM35:AR35">
    <cfRule type="cellIs" dxfId="80" priority="1297" operator="equal">
      <formula>"No aplica"</formula>
    </cfRule>
    <cfRule type="cellIs" dxfId="79" priority="1310" operator="equal">
      <formula>"Devuelto"</formula>
    </cfRule>
    <cfRule type="cellIs" dxfId="78" priority="1313" operator="equal">
      <formula>"Devuelto "</formula>
    </cfRule>
  </conditionalFormatting>
  <conditionalFormatting sqref="AM37:AR37">
    <cfRule type="cellIs" dxfId="77" priority="1295" operator="equal">
      <formula>"Devuelto "</formula>
    </cfRule>
    <cfRule type="cellIs" dxfId="76" priority="1279" operator="equal">
      <formula>"No aplica"</formula>
    </cfRule>
    <cfRule type="cellIs" dxfId="75" priority="1292" operator="equal">
      <formula>"Devuelto"</formula>
    </cfRule>
  </conditionalFormatting>
  <conditionalFormatting sqref="AM42:AR42">
    <cfRule type="cellIs" dxfId="74" priority="1261" operator="equal">
      <formula>"No aplica"</formula>
    </cfRule>
    <cfRule type="cellIs" dxfId="73" priority="1274" operator="equal">
      <formula>"Devuelto"</formula>
    </cfRule>
    <cfRule type="cellIs" dxfId="72" priority="1277" operator="equal">
      <formula>"Devuelto "</formula>
    </cfRule>
  </conditionalFormatting>
  <conditionalFormatting sqref="AM45:AR46">
    <cfRule type="cellIs" dxfId="71" priority="1259" operator="equal">
      <formula>"Devuelto "</formula>
    </cfRule>
    <cfRule type="cellIs" dxfId="70" priority="1243" operator="equal">
      <formula>"No aplica"</formula>
    </cfRule>
    <cfRule type="cellIs" dxfId="69" priority="1256" operator="equal">
      <formula>"Devuelto"</formula>
    </cfRule>
  </conditionalFormatting>
  <conditionalFormatting sqref="AM49:AR49">
    <cfRule type="cellIs" dxfId="68" priority="1232" operator="equal">
      <formula>"en proceso"</formula>
    </cfRule>
    <cfRule type="cellIs" dxfId="67" priority="1238" operator="equal">
      <formula>"Devuelto"</formula>
    </cfRule>
    <cfRule type="cellIs" dxfId="66" priority="1241" operator="equal">
      <formula>"Devuelto "</formula>
    </cfRule>
    <cfRule type="cellIs" dxfId="65" priority="1233" operator="equal">
      <formula>"finalizado"</formula>
    </cfRule>
    <cfRule type="cellIs" dxfId="64" priority="1225" operator="equal">
      <formula>"No aplica"</formula>
    </cfRule>
  </conditionalFormatting>
  <conditionalFormatting sqref="AM56:AR61">
    <cfRule type="cellIs" dxfId="63" priority="1215" operator="equal">
      <formula>"En proceso"</formula>
    </cfRule>
    <cfRule type="cellIs" dxfId="62" priority="1216" operator="equal">
      <formula>"Finalizado"</formula>
    </cfRule>
    <cfRule type="cellIs" priority="1214" operator="equal">
      <formula>"Sin Iniciar"</formula>
    </cfRule>
    <cfRule type="cellIs" dxfId="61" priority="1213" operator="equal">
      <formula>"No aplica"</formula>
    </cfRule>
  </conditionalFormatting>
  <conditionalFormatting sqref="AM63:AR64">
    <cfRule type="cellIs" dxfId="60" priority="1211" operator="equal">
      <formula>"Devuelto "</formula>
    </cfRule>
    <cfRule type="cellIs" dxfId="59" priority="1195" operator="equal">
      <formula>"No aplica"</formula>
    </cfRule>
    <cfRule type="cellIs" dxfId="58" priority="1208" operator="equal">
      <formula>"Devuelto"</formula>
    </cfRule>
  </conditionalFormatting>
  <conditionalFormatting sqref="AM66:AR71">
    <cfRule type="cellIs" dxfId="57" priority="1190" operator="equal">
      <formula>"Devuelto"</formula>
    </cfRule>
    <cfRule type="cellIs" dxfId="56" priority="1177" operator="equal">
      <formula>"No aplica"</formula>
    </cfRule>
    <cfRule type="cellIs" dxfId="55" priority="1193" operator="equal">
      <formula>"Devuelto "</formula>
    </cfRule>
  </conditionalFormatting>
  <conditionalFormatting sqref="AP65:AR65">
    <cfRule type="cellIs" dxfId="54" priority="699" operator="equal">
      <formula>"Devuelto "</formula>
    </cfRule>
    <cfRule type="cellIs" dxfId="53" priority="689" operator="equal">
      <formula>"finalizado"</formula>
    </cfRule>
    <cfRule type="cellIs" dxfId="52" priority="696" operator="equal">
      <formula>"Devuelto"</formula>
    </cfRule>
    <cfRule type="cellIs" dxfId="51" priority="688" operator="equal">
      <formula>"en proceso"</formula>
    </cfRule>
  </conditionalFormatting>
  <conditionalFormatting sqref="AQ29">
    <cfRule type="cellIs" dxfId="50" priority="1161" operator="equal">
      <formula>"No aplica"</formula>
    </cfRule>
  </conditionalFormatting>
  <conditionalFormatting sqref="AQ32:AQ33">
    <cfRule type="cellIs" dxfId="49" priority="1165" operator="equal">
      <formula>"No aplica"</formula>
    </cfRule>
  </conditionalFormatting>
  <conditionalFormatting sqref="AQ39">
    <cfRule type="cellIs" dxfId="48" priority="1169" operator="equal">
      <formula>"No aplica"</formula>
    </cfRule>
  </conditionalFormatting>
  <conditionalFormatting sqref="AQ47:AR48">
    <cfRule type="cellIs" dxfId="47" priority="741" operator="equal">
      <formula>"No aplica"</formula>
    </cfRule>
  </conditionalFormatting>
  <conditionalFormatting sqref="AR12:AR13">
    <cfRule type="cellIs" dxfId="46" priority="194" operator="equal">
      <formula>"finalizado"</formula>
    </cfRule>
    <cfRule type="cellIs" dxfId="45" priority="204" operator="equal">
      <formula>"Devuelto "</formula>
    </cfRule>
    <cfRule type="cellIs" dxfId="44" priority="201" operator="equal">
      <formula>"Devuelto"</formula>
    </cfRule>
    <cfRule type="cellIs" dxfId="43" priority="193" operator="equal">
      <formula>"en proceso"</formula>
    </cfRule>
  </conditionalFormatting>
  <conditionalFormatting sqref="AR26:AR34">
    <cfRule type="cellIs" dxfId="42" priority="839" operator="equal">
      <formula>"Devuelto "</formula>
    </cfRule>
    <cfRule type="cellIs" dxfId="41" priority="836" operator="equal">
      <formula>"Devuelto"</formula>
    </cfRule>
    <cfRule type="cellIs" dxfId="40" priority="824" operator="equal">
      <formula>"Finalizado"</formula>
    </cfRule>
    <cfRule type="cellIs" priority="822" operator="equal">
      <formula>"Sin Iniciar"</formula>
    </cfRule>
    <cfRule type="cellIs" dxfId="39" priority="821" operator="equal">
      <formula>"No aplica"</formula>
    </cfRule>
    <cfRule type="cellIs" dxfId="38" priority="829" operator="equal">
      <formula>"finalizado"</formula>
    </cfRule>
    <cfRule type="cellIs" dxfId="37" priority="828" operator="equal">
      <formula>"en proceso"</formula>
    </cfRule>
    <cfRule type="cellIs" dxfId="36" priority="823" operator="equal">
      <formula>"En proceso"</formula>
    </cfRule>
  </conditionalFormatting>
  <conditionalFormatting sqref="AR38:AR41">
    <cfRule type="cellIs" dxfId="35" priority="799" operator="equal">
      <formula>"Devuelto "</formula>
    </cfRule>
    <cfRule type="cellIs" dxfId="34" priority="796" operator="equal">
      <formula>"Devuelto"</formula>
    </cfRule>
    <cfRule type="cellIs" dxfId="33" priority="789" operator="equal">
      <formula>"finalizado"</formula>
    </cfRule>
    <cfRule type="cellIs" dxfId="32" priority="784" operator="equal">
      <formula>"Finalizado"</formula>
    </cfRule>
    <cfRule type="cellIs" priority="782" operator="equal">
      <formula>"Sin Iniciar"</formula>
    </cfRule>
    <cfRule type="cellIs" dxfId="31" priority="781" operator="equal">
      <formula>"No aplica"</formula>
    </cfRule>
    <cfRule type="cellIs" dxfId="30" priority="788" operator="equal">
      <formula>"en proceso"</formula>
    </cfRule>
  </conditionalFormatting>
  <conditionalFormatting sqref="AR47:AR48">
    <cfRule type="cellIs" dxfId="29" priority="756" operator="equal">
      <formula>"Devuelto"</formula>
    </cfRule>
    <cfRule type="cellIs" dxfId="28" priority="748" operator="equal">
      <formula>"en proceso"</formula>
    </cfRule>
    <cfRule type="cellIs" dxfId="27" priority="759" operator="equal">
      <formula>"Devuelto "</formula>
    </cfRule>
    <cfRule type="cellIs" dxfId="26" priority="749" operator="equal">
      <formula>"finalizado"</formula>
    </cfRule>
  </conditionalFormatting>
  <conditionalFormatting sqref="AS10:AS11">
    <cfRule type="cellIs" dxfId="25" priority="2794" operator="equal">
      <formula>"No aplica"</formula>
    </cfRule>
  </conditionalFormatting>
  <conditionalFormatting sqref="AS10:AS71">
    <cfRule type="cellIs" dxfId="24" priority="386" operator="equal">
      <formula>"en proceso"</formula>
    </cfRule>
    <cfRule type="cellIs" dxfId="23" priority="387" operator="equal">
      <formula>"en proceso "</formula>
    </cfRule>
  </conditionalFormatting>
  <conditionalFormatting sqref="AS60:AU60">
    <cfRule type="cellIs" dxfId="22" priority="441" operator="equal">
      <formula>"Devuelto "</formula>
    </cfRule>
    <cfRule type="cellIs" dxfId="21" priority="438" operator="equal">
      <formula>"Devuelto"</formula>
    </cfRule>
  </conditionalFormatting>
  <conditionalFormatting sqref="AS10:AV71">
    <cfRule type="cellIs" dxfId="20" priority="170" operator="equal">
      <formula>"finalizado"</formula>
    </cfRule>
  </conditionalFormatting>
  <conditionalFormatting sqref="AS12:AV71">
    <cfRule type="cellIs" priority="171" operator="equal">
      <formula>"Sin Iniciar"</formula>
    </cfRule>
    <cfRule type="cellIs" dxfId="19" priority="172" operator="equal">
      <formula>"En proceso"</formula>
    </cfRule>
    <cfRule type="cellIs" dxfId="18" priority="173" operator="equal">
      <formula>"Finalizado"</formula>
    </cfRule>
  </conditionalFormatting>
  <conditionalFormatting sqref="AT8">
    <cfRule type="cellIs" dxfId="17" priority="2787" operator="equal">
      <formula>"finalizado"</formula>
    </cfRule>
    <cfRule type="cellIs" dxfId="16" priority="2786" operator="equal">
      <formula>"en proceso"</formula>
    </cfRule>
    <cfRule type="cellIs" dxfId="15" priority="2788" operator="equal">
      <formula>"en proceso "</formula>
    </cfRule>
  </conditionalFormatting>
  <conditionalFormatting sqref="AT11:AU71">
    <cfRule type="cellIs" dxfId="14" priority="396" operator="equal">
      <formula>"en proceso"</formula>
    </cfRule>
  </conditionalFormatting>
  <conditionalFormatting sqref="AT12:AU59">
    <cfRule type="cellIs" dxfId="13" priority="459" operator="equal">
      <formula>"Devuelto "</formula>
    </cfRule>
    <cfRule type="cellIs" dxfId="12" priority="456" operator="equal">
      <formula>"Devuelto"</formula>
    </cfRule>
  </conditionalFormatting>
  <conditionalFormatting sqref="AT12:AU71">
    <cfRule type="cellIs" dxfId="11" priority="389" operator="equal">
      <formula>"No aplica"</formula>
    </cfRule>
  </conditionalFormatting>
  <conditionalFormatting sqref="AT61:AU71">
    <cfRule type="cellIs" dxfId="10" priority="405" operator="equal">
      <formula>"Devuelto "</formula>
    </cfRule>
    <cfRule type="cellIs" dxfId="9" priority="402" operator="equal">
      <formula>"Devuelto"</formula>
    </cfRule>
  </conditionalFormatting>
  <conditionalFormatting sqref="AV10:AV71">
    <cfRule type="cellIs" dxfId="8" priority="169" operator="equal">
      <formula>"en proceso "</formula>
    </cfRule>
    <cfRule type="cellIs" dxfId="7" priority="168" operator="equal">
      <formula>"en proceso"</formula>
    </cfRule>
  </conditionalFormatting>
  <conditionalFormatting sqref="AV10:AW11">
    <cfRule type="cellIs" dxfId="6" priority="123" operator="equal">
      <formula>"No aplica"</formula>
    </cfRule>
  </conditionalFormatting>
  <conditionalFormatting sqref="AW10:AW11">
    <cfRule type="cellIs" dxfId="5" priority="119" operator="equal">
      <formula>"en proceso "</formula>
    </cfRule>
    <cfRule type="cellIs" dxfId="4" priority="118" operator="equal">
      <formula>"en proceso"</formula>
    </cfRule>
    <cfRule type="cellIs" dxfId="3" priority="120" operator="equal">
      <formula>"finalizado"</formula>
    </cfRule>
  </conditionalFormatting>
  <dataValidations count="14">
    <dataValidation type="list" allowBlank="1" showInputMessage="1" showErrorMessage="1" sqref="D12:D71" xr:uid="{0D899FAD-49C8-4F1E-B97B-1C99D7D83ABB}">
      <formula1>INDIRECT($B12)</formula1>
    </dataValidation>
    <dataValidation type="list" allowBlank="1" showInputMessage="1" showErrorMessage="1" sqref="F12:F71" xr:uid="{ADFB2D83-C6D3-447B-A2F4-CA13F7AEC3CE}">
      <formula1>"Presencial,Virtual,Híbrido"</formula1>
    </dataValidation>
    <dataValidation type="list" allowBlank="1" showInputMessage="1" showErrorMessage="1" sqref="G12:G71" xr:uid="{42D54AD1-0C5D-4F7F-A3AC-0B3BA6EF3176}">
      <formula1>"Técnico,Tecnológico,Profesional,Especialización,Maestría,Doctorado"</formula1>
    </dataValidation>
    <dataValidation type="list" allowBlank="1" showInputMessage="1" showErrorMessage="1" sqref="I12:I71" xr:uid="{7E0D7472-41A8-40C9-9BB7-857837AA266C}">
      <formula1>"Bogotá,Medellín,Nacional"</formula1>
    </dataValidation>
    <dataValidation type="list" allowBlank="1" showInputMessage="1" showErrorMessage="1" sqref="O69:P71 L12:L51 L57:L71 M67:M69 N68:P68 O67:P67" xr:uid="{C79725E3-5294-4D79-82AD-B3C81482FFEC}">
      <formula1>"Finalizado, Sin Iniciar"</formula1>
    </dataValidation>
    <dataValidation type="list" allowBlank="1" showInputMessage="1" showErrorMessage="1" sqref="V64:V67 AD41 V16:X16 U70:W71 AJ66:AL71 M44 AD57:AG58 V62:X62 AD32:AG33 AF41 AG50:AG51 AD48:AG48 AD29:AF30 V17:W18 R12:T71 AK49:AK64 M40 AL49 AL35 AI45:AL46 AL63:AL64 AG66 AE37 AI67 M37 M42 AL37 AM39:AP39 AL42 AL56:AL61 N69 Y12:Y71 U65:U66 U63:W63 U58:V58 U55:W55 U52:W52 U48:U50 U44:U45 U40:U42 U37:U38 AA12:AA71 U32:U33 U29:U30 U24:U25 U19:W19 AJ60:AJ64 X28 U27:W27 V20:W26 X67 V53:W54 V56:W56 X60:X61 AD65:AF66 AL25 AL18 AL14 AI69:AI71 AI40 AK31 AK40 AI42:AI43 AK42:AK43 AI49:AJ55 AM47:AP48 AI31 AJ30:AJ31 AM29:AP29 AM32:AP33 AJ40:AJ43 AI34:AK38 AI61:AI63 W57:W61 W64:W68 V28:W51 V12:W15 U13:U16 AE40:AE42 AE44" xr:uid="{37DFF9D9-0235-4965-AF0A-D5B771376401}">
      <formula1>"Finalizado, En proceso, Sin Iniciar"</formula1>
    </dataValidation>
    <dataValidation type="list" allowBlank="1" showInputMessage="1" showErrorMessage="1" sqref="L17:L45 M12:O12 M43 M38:P38 N15:N17 N36:P36 N47:P47 N26:N28 M31:P31 M20:M28 M39 N39:O40 M15:M18 M34:M36 N34:P34 N41 L52:L56 M60:M64 N65 N61:N63 M70:N71 N19:N24 O15:O18 N13 P48:P58 M49:O56 M59:P59 P60:P66 O35:P35 O37:P37 O20:O28 P32:P33 N43:N45 M45:M47 P12:P30 N30 P39:P46 O42:O46 O60:O64" xr:uid="{0AB52336-9FC3-45CA-9A8E-47D48C136CAA}">
      <formula1>"Finalizado, Sin Iniciar, En proceso"</formula1>
    </dataValidation>
    <dataValidation type="list" allowBlank="1" showInputMessage="1" showErrorMessage="1" sqref="V62:X62 U27:W27 AD40:AE42 V12:W18 AD48:AG48 N29:O29 O41 AG50:AG51 O13:O14 O30 M32:O33 M48:O48 M13:M14 M44 M65:M66 M19 M29:M30 O19 M40:M42 AD65:AF66 O65:O66 AG66 AL60 AM29:AP29 U70:W71 V64:V67 AD57:AG58 AF41 M37 AD29:AF30 AD32:AG33 O57:O58 AD37:AE37 M57:M58 N69 W57:W61 AA12:AA71 U65:U66 U63:W63 U58:V58 U55:W55 U52:W52 U48:U50 U44:U45 U40:U42 U37:U38 U32:U33 U29:U30 U24:U25 U19:W19 R12:T71 V20:W26 V53:W54 V56:W56 Y12:Y71 W64:W68 X63:X71 V28:W51 X12:X61 U13:U16 AD44:AE44" xr:uid="{2346009F-9C9B-464B-AAFB-81137AB33221}">
      <formula1>"Finalizado,Devuelto,Sin iniciar"</formula1>
    </dataValidation>
    <dataValidation type="list" allowBlank="1" showInputMessage="1" showErrorMessage="1" sqref="N35" xr:uid="{B241EC0C-773D-4B15-A09F-5F6E7BD87F6E}">
      <formula1>"Finalizado, Sin Iniciar, En proceso,No aplica"</formula1>
    </dataValidation>
    <dataValidation type="list" allowBlank="1" showInputMessage="1" showErrorMessage="1" sqref="N14" xr:uid="{E6AC4D6B-2836-4DEE-9B3A-0309637AFCCC}">
      <formula1>"Finalizado,Devuelto,Sin iniciar, No aplica"</formula1>
    </dataValidation>
    <dataValidation type="list" allowBlank="1" showInputMessage="1" showErrorMessage="1" sqref="AB12:AB71" xr:uid="{F700D9F6-5C39-4743-8CEF-C4F6568D4418}">
      <formula1>"Finalizado, En proceso, Sin Iniciar,Enviado al Ministerio"</formula1>
    </dataValidation>
    <dataValidation type="list" allowBlank="1" showInputMessage="1" showErrorMessage="1" sqref="AB12:AB71" xr:uid="{96680162-2BB2-42DE-90FF-C7E69E892E41}">
      <formula1>"Finalizado,Devuelto,Sin iniciar,Enviado al ministerio"</formula1>
    </dataValidation>
    <dataValidation type="list" allowBlank="1" showInputMessage="1" showErrorMessage="1" sqref="U12 U17:U18 U20:U23 U26 U28 U31 U34:U36 U39 U43 U46:U47 U51 U53:U54 U56:U57 U59:U62 U64 U67:U68 AD31:AH31 AD34:AG36 AD43:AH43 AD46:AG47 AD50:AF51 AD12:AG28 AG29:AG30 AF37:AH37 AF40:AH40 AF42 AF44:AG45 AD45:AE45 AD49:AH49 AD52:AG56 AD59:AG64 AD67:AG71 AH12:AH30 AH32:AH36 AD38:AH39 AG41:AH42 AH44:AH48 AH50:AH64 AH66:AH71 AI13:AK28 AQ28:AQ34 AL13:AR13 AI29:AI30 AK29:AK30 AI41 AK41:AR41 AI44:AR44 AG65:AR65 AJ29 AL28:AL31 AI32:AL33 AI39:AL39 AI47:AL48 AI56:AJ59 AI64 AI66 AI68 AM14:AR14 AM18:AR18 AM25:AR25 AM35:AR35 AM37:AR37 AM42:AR42 AM45:AR46 AM49:AR49 AM56:AR61 AM63:AR64 AM66:AR71 N18 AL26:AQ27 AM28:AP28 AM30:AP31 AL34:AP34 AL36:AR36 AL38:AP38 AL40:AP40 AL43:AR43 AL62:AR62 AL15:AR17 AL19:AR24 AR26:AR34 AQ38:AR40 AQ47:AR48 AL50:AR55 AI12:AR12 N42 N46 N57:N58 N60 N66:N67 N64 N37 N25 AT12:AU71" xr:uid="{88B74452-9584-46E7-8684-FC602BD07DE1}">
      <formula1>"Finalizado, En proceso, Sin Iniciar, No aplica"</formula1>
    </dataValidation>
    <dataValidation type="list" allowBlank="1" showInputMessage="1" showErrorMessage="1" sqref="U12 U17:U18 U20:U23 U26 U28 U31 U34:U36 U39 U43 U46:U47 U51 U53:U54 U56:U57 U59:U62 U64 U67:U68 AD31:AH31 AD34:AG36 AD43:AH43 AD46:AG47 AD50:AF51 AD12:AG28 AG29:AG30 AF37:AH37 AF40:AH40 AF42 AF44:AG45 AD45:AE45 AD49:AH49 AD52:AG56 AD59:AG64 AD67:AG71 AH12:AH30 AH32:AH36 AD38:AH39 AG41:AH42 AH44:AH48 AH50:AH64 AH66:AH71 AI13:AK28 AQ28:AQ34 AL13:AR13 AI29:AI30 AK29:AK30 AI41 AK41:AR41 AI44:AR44 AG65:AR65 AJ29 AL28:AL31 AI32:AL33 AI39:AL39 AI47:AL48 AI56:AJ59 AI64 AI66 AI68 AM14:AR14 AM18:AR18 AM25:AR25 AM35:AR35 AM37:AR37 AM42:AR42 AM45:AR46 AM49:AR49 AM56:AR61 AM63:AR64 AM66:AR71 N18 AL26:AQ27 AM28:AP28 AM30:AP31 AL34:AP34 AL36:AR36 AL38:AP38 AL40:AP40 AL43:AR43 AL62:AR62 AL15:AR17 AL19:AR24 AR26:AR34 AQ38:AR40 AQ47:AR48 AL50:AR55 AI12:AR12 N42 N46 N57:N58 N60 N66:N67 N64 N37 N25 AT12:AU71" xr:uid="{E4B6F8C3-63CB-47C6-B71D-D4B146ACD4FB}">
      <formula1>"Finalizado,Devuelto,Sin iniciar,No aplica"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5B53-6734-4D4F-A384-E908313351DF}">
  <sheetPr codeName="Hoja8"/>
  <dimension ref="A1:I65"/>
  <sheetViews>
    <sheetView zoomScaleNormal="100" workbookViewId="0">
      <pane xSplit="2" ySplit="6" topLeftCell="C70" activePane="bottomRight" state="frozen"/>
      <selection activeCell="L5" sqref="L5"/>
      <selection pane="topRight" activeCell="L5" sqref="L5"/>
      <selection pane="bottomLeft" activeCell="L5" sqref="L5"/>
      <selection pane="bottomRight" activeCell="L5" sqref="L5"/>
    </sheetView>
  </sheetViews>
  <sheetFormatPr baseColWidth="10" defaultColWidth="8.6640625" defaultRowHeight="14.4" x14ac:dyDescent="0.3"/>
  <cols>
    <col min="1" max="2" width="6" style="330" customWidth="1"/>
    <col min="3" max="3" width="40" style="330" customWidth="1"/>
    <col min="4" max="4" width="47.6640625" style="330" customWidth="1"/>
    <col min="5" max="5" width="18" style="330" customWidth="1"/>
    <col min="6" max="6" width="22" style="330" customWidth="1"/>
    <col min="7" max="8" width="14" style="330" customWidth="1"/>
    <col min="9" max="9" width="30" style="330" customWidth="1"/>
    <col min="10" max="16384" width="8.6640625" style="330"/>
  </cols>
  <sheetData>
    <row r="1" spans="1:9" ht="30" customHeight="1" x14ac:dyDescent="0.3">
      <c r="A1" s="421" t="s">
        <v>428</v>
      </c>
      <c r="B1" s="421"/>
      <c r="C1" s="421"/>
      <c r="D1" s="421"/>
      <c r="E1" s="421"/>
      <c r="F1" s="421"/>
      <c r="G1" s="421"/>
      <c r="H1" s="421"/>
      <c r="I1" s="421"/>
    </row>
    <row r="2" spans="1:9" ht="19.5" customHeight="1" x14ac:dyDescent="0.3">
      <c r="A2" s="422" t="s">
        <v>429</v>
      </c>
      <c r="B2" s="422"/>
      <c r="C2" s="422"/>
      <c r="D2" s="422"/>
      <c r="E2" s="422"/>
      <c r="F2" s="422"/>
      <c r="G2" s="422"/>
      <c r="H2" s="422"/>
      <c r="I2" s="422"/>
    </row>
    <row r="3" spans="1:9" ht="20.25" customHeight="1" x14ac:dyDescent="0.3">
      <c r="C3" s="330" t="s">
        <v>532</v>
      </c>
      <c r="D3" s="330" t="s">
        <v>533</v>
      </c>
    </row>
    <row r="4" spans="1:9" ht="24.75" customHeight="1" x14ac:dyDescent="0.3">
      <c r="C4" s="330" t="s">
        <v>534</v>
      </c>
      <c r="D4" s="330" t="s">
        <v>535</v>
      </c>
    </row>
    <row r="5" spans="1:9" ht="24.75" customHeight="1" x14ac:dyDescent="0.3">
      <c r="C5" s="330" t="s">
        <v>536</v>
      </c>
      <c r="D5" s="330" t="s">
        <v>275</v>
      </c>
    </row>
    <row r="6" spans="1:9" ht="31.5" customHeight="1" x14ac:dyDescent="0.3">
      <c r="A6" s="331" t="s">
        <v>430</v>
      </c>
      <c r="B6" s="331" t="s">
        <v>431</v>
      </c>
      <c r="C6" s="331" t="s">
        <v>432</v>
      </c>
      <c r="D6" s="331" t="s">
        <v>433</v>
      </c>
      <c r="E6" s="331" t="s">
        <v>156</v>
      </c>
      <c r="F6" s="331" t="s">
        <v>434</v>
      </c>
      <c r="G6" s="331" t="s">
        <v>435</v>
      </c>
      <c r="H6" s="331" t="s">
        <v>436</v>
      </c>
      <c r="I6" s="331" t="s">
        <v>437</v>
      </c>
    </row>
    <row r="7" spans="1:9" ht="24" customHeight="1" x14ac:dyDescent="0.3">
      <c r="A7" s="423" t="s">
        <v>438</v>
      </c>
      <c r="B7" s="423"/>
      <c r="C7" s="423"/>
      <c r="D7" s="423"/>
      <c r="E7" s="423"/>
      <c r="F7" s="423"/>
      <c r="G7" s="423"/>
      <c r="H7" s="423"/>
      <c r="I7" s="423"/>
    </row>
    <row r="8" spans="1:9" ht="30" customHeight="1" x14ac:dyDescent="0.3">
      <c r="A8" s="332">
        <v>1</v>
      </c>
      <c r="B8" s="333" t="s">
        <v>439</v>
      </c>
      <c r="C8" s="334" t="s">
        <v>440</v>
      </c>
      <c r="D8" s="335" t="s">
        <v>441</v>
      </c>
      <c r="E8" s="336"/>
      <c r="F8" s="335"/>
      <c r="G8" s="333"/>
      <c r="H8" s="333"/>
      <c r="I8" s="337"/>
    </row>
    <row r="9" spans="1:9" ht="30" customHeight="1" x14ac:dyDescent="0.3">
      <c r="A9" s="338">
        <v>2</v>
      </c>
      <c r="B9" s="339" t="s">
        <v>439</v>
      </c>
      <c r="C9" s="340" t="s">
        <v>225</v>
      </c>
      <c r="D9" s="341" t="s">
        <v>442</v>
      </c>
      <c r="E9" s="342"/>
      <c r="F9" s="341"/>
      <c r="G9" s="339"/>
      <c r="H9" s="339"/>
      <c r="I9" s="343"/>
    </row>
    <row r="10" spans="1:9" ht="30" customHeight="1" x14ac:dyDescent="0.3">
      <c r="A10" s="332">
        <v>3</v>
      </c>
      <c r="B10" s="333" t="s">
        <v>439</v>
      </c>
      <c r="C10" s="334" t="s">
        <v>443</v>
      </c>
      <c r="D10" s="335" t="s">
        <v>444</v>
      </c>
      <c r="E10" s="336"/>
      <c r="F10" s="335"/>
      <c r="G10" s="333"/>
      <c r="H10" s="333"/>
      <c r="I10" s="337"/>
    </row>
    <row r="11" spans="1:9" ht="30" customHeight="1" x14ac:dyDescent="0.3">
      <c r="A11" s="338">
        <v>4</v>
      </c>
      <c r="B11" s="339" t="s">
        <v>439</v>
      </c>
      <c r="C11" s="340" t="s">
        <v>445</v>
      </c>
      <c r="D11" s="341" t="s">
        <v>446</v>
      </c>
      <c r="E11" s="342"/>
      <c r="F11" s="341"/>
      <c r="G11" s="339"/>
      <c r="H11" s="339"/>
      <c r="I11" s="343"/>
    </row>
    <row r="12" spans="1:9" ht="30" customHeight="1" x14ac:dyDescent="0.3">
      <c r="A12" s="332">
        <v>5</v>
      </c>
      <c r="B12" s="333" t="s">
        <v>439</v>
      </c>
      <c r="C12" s="334" t="s">
        <v>447</v>
      </c>
      <c r="D12" s="335" t="s">
        <v>448</v>
      </c>
      <c r="E12" s="336"/>
      <c r="F12" s="335"/>
      <c r="G12" s="333"/>
      <c r="H12" s="333"/>
      <c r="I12" s="337"/>
    </row>
    <row r="13" spans="1:9" ht="30" customHeight="1" x14ac:dyDescent="0.3">
      <c r="A13" s="338">
        <v>6</v>
      </c>
      <c r="B13" s="339" t="s">
        <v>439</v>
      </c>
      <c r="C13" s="340" t="s">
        <v>449</v>
      </c>
      <c r="D13" s="341" t="s">
        <v>450</v>
      </c>
      <c r="E13" s="342"/>
      <c r="F13" s="341"/>
      <c r="G13" s="339"/>
      <c r="H13" s="339"/>
      <c r="I13" s="343"/>
    </row>
    <row r="14" spans="1:9" ht="30" customHeight="1" x14ac:dyDescent="0.3">
      <c r="A14" s="332">
        <v>7</v>
      </c>
      <c r="B14" s="333" t="s">
        <v>439</v>
      </c>
      <c r="C14" s="334" t="s">
        <v>451</v>
      </c>
      <c r="D14" s="335" t="s">
        <v>452</v>
      </c>
      <c r="E14" s="336"/>
      <c r="F14" s="335"/>
      <c r="G14" s="333"/>
      <c r="H14" s="333"/>
      <c r="I14" s="337"/>
    </row>
    <row r="15" spans="1:9" ht="6" customHeight="1" x14ac:dyDescent="0.3">
      <c r="A15" s="424"/>
      <c r="B15" s="424"/>
      <c r="C15" s="424"/>
      <c r="D15" s="424"/>
      <c r="E15" s="424"/>
      <c r="F15" s="424"/>
      <c r="G15" s="424"/>
      <c r="H15" s="424"/>
      <c r="I15" s="424"/>
    </row>
    <row r="16" spans="1:9" ht="24" customHeight="1" x14ac:dyDescent="0.3">
      <c r="A16" s="425" t="s">
        <v>453</v>
      </c>
      <c r="B16" s="425"/>
      <c r="C16" s="425"/>
      <c r="D16" s="425"/>
      <c r="E16" s="425"/>
      <c r="F16" s="425"/>
      <c r="G16" s="425"/>
      <c r="H16" s="425"/>
      <c r="I16" s="425"/>
    </row>
    <row r="17" spans="1:9" ht="30" customHeight="1" x14ac:dyDescent="0.3">
      <c r="A17" s="344">
        <v>8</v>
      </c>
      <c r="B17" s="345" t="s">
        <v>454</v>
      </c>
      <c r="C17" s="346" t="s">
        <v>205</v>
      </c>
      <c r="D17" s="347" t="s">
        <v>455</v>
      </c>
      <c r="E17" s="348"/>
      <c r="F17" s="347"/>
      <c r="G17" s="345"/>
      <c r="H17" s="345"/>
      <c r="I17" s="349"/>
    </row>
    <row r="18" spans="1:9" ht="30" customHeight="1" x14ac:dyDescent="0.3">
      <c r="A18" s="338">
        <v>9</v>
      </c>
      <c r="B18" s="339" t="s">
        <v>454</v>
      </c>
      <c r="C18" s="340" t="s">
        <v>456</v>
      </c>
      <c r="D18" s="341" t="s">
        <v>457</v>
      </c>
      <c r="E18" s="342"/>
      <c r="F18" s="341"/>
      <c r="G18" s="339"/>
      <c r="H18" s="339"/>
      <c r="I18" s="343"/>
    </row>
    <row r="19" spans="1:9" ht="30" customHeight="1" x14ac:dyDescent="0.3">
      <c r="A19" s="344">
        <v>10</v>
      </c>
      <c r="B19" s="345" t="s">
        <v>454</v>
      </c>
      <c r="C19" s="346" t="s">
        <v>172</v>
      </c>
      <c r="D19" s="347" t="s">
        <v>458</v>
      </c>
      <c r="E19" s="348"/>
      <c r="F19" s="347"/>
      <c r="G19" s="345"/>
      <c r="H19" s="345"/>
      <c r="I19" s="349"/>
    </row>
    <row r="20" spans="1:9" ht="30" customHeight="1" x14ac:dyDescent="0.3">
      <c r="A20" s="338">
        <v>11</v>
      </c>
      <c r="B20" s="339" t="s">
        <v>454</v>
      </c>
      <c r="C20" s="340" t="s">
        <v>459</v>
      </c>
      <c r="D20" s="341" t="s">
        <v>460</v>
      </c>
      <c r="E20" s="342"/>
      <c r="F20" s="341"/>
      <c r="G20" s="339"/>
      <c r="H20" s="339"/>
      <c r="I20" s="343"/>
    </row>
    <row r="21" spans="1:9" ht="6" customHeight="1" x14ac:dyDescent="0.3">
      <c r="A21" s="424"/>
      <c r="B21" s="424"/>
      <c r="C21" s="424"/>
      <c r="D21" s="424"/>
      <c r="E21" s="424"/>
      <c r="F21" s="424"/>
      <c r="G21" s="424"/>
      <c r="H21" s="424"/>
      <c r="I21" s="424"/>
    </row>
    <row r="22" spans="1:9" ht="24" customHeight="1" x14ac:dyDescent="0.3">
      <c r="A22" s="426" t="s">
        <v>461</v>
      </c>
      <c r="B22" s="426"/>
      <c r="C22" s="426"/>
      <c r="D22" s="426"/>
      <c r="E22" s="426"/>
      <c r="F22" s="426"/>
      <c r="G22" s="426"/>
      <c r="H22" s="426"/>
      <c r="I22" s="426"/>
    </row>
    <row r="23" spans="1:9" ht="30" customHeight="1" x14ac:dyDescent="0.3">
      <c r="A23" s="350">
        <v>12</v>
      </c>
      <c r="B23" s="351" t="s">
        <v>462</v>
      </c>
      <c r="C23" s="352" t="s">
        <v>463</v>
      </c>
      <c r="D23" s="353" t="s">
        <v>464</v>
      </c>
      <c r="E23" s="354"/>
      <c r="F23" s="353"/>
      <c r="G23" s="351"/>
      <c r="H23" s="351"/>
      <c r="I23" s="355"/>
    </row>
    <row r="24" spans="1:9" ht="30" customHeight="1" x14ac:dyDescent="0.3">
      <c r="A24" s="338">
        <v>13</v>
      </c>
      <c r="B24" s="339" t="s">
        <v>462</v>
      </c>
      <c r="C24" s="340" t="s">
        <v>465</v>
      </c>
      <c r="D24" s="341" t="s">
        <v>466</v>
      </c>
      <c r="E24" s="342"/>
      <c r="F24" s="341"/>
      <c r="G24" s="339"/>
      <c r="H24" s="339"/>
      <c r="I24" s="343"/>
    </row>
    <row r="25" spans="1:9" ht="30" customHeight="1" x14ac:dyDescent="0.3">
      <c r="A25" s="350">
        <v>14</v>
      </c>
      <c r="B25" s="351" t="s">
        <v>462</v>
      </c>
      <c r="C25" s="352" t="s">
        <v>467</v>
      </c>
      <c r="D25" s="353" t="s">
        <v>468</v>
      </c>
      <c r="E25" s="354"/>
      <c r="F25" s="353"/>
      <c r="G25" s="351"/>
      <c r="H25" s="351"/>
      <c r="I25" s="355"/>
    </row>
    <row r="26" spans="1:9" ht="30" customHeight="1" x14ac:dyDescent="0.3">
      <c r="A26" s="338">
        <v>15</v>
      </c>
      <c r="B26" s="339" t="s">
        <v>462</v>
      </c>
      <c r="C26" s="340" t="s">
        <v>469</v>
      </c>
      <c r="D26" s="341" t="s">
        <v>470</v>
      </c>
      <c r="E26" s="342"/>
      <c r="F26" s="341"/>
      <c r="G26" s="339"/>
      <c r="H26" s="339"/>
      <c r="I26" s="343"/>
    </row>
    <row r="27" spans="1:9" ht="30" customHeight="1" x14ac:dyDescent="0.3">
      <c r="A27" s="350">
        <v>16</v>
      </c>
      <c r="B27" s="351" t="s">
        <v>462</v>
      </c>
      <c r="C27" s="352" t="s">
        <v>471</v>
      </c>
      <c r="D27" s="353" t="s">
        <v>472</v>
      </c>
      <c r="E27" s="354"/>
      <c r="F27" s="353"/>
      <c r="G27" s="351"/>
      <c r="H27" s="351"/>
      <c r="I27" s="355"/>
    </row>
    <row r="28" spans="1:9" ht="30" customHeight="1" x14ac:dyDescent="0.3">
      <c r="A28" s="338">
        <v>17</v>
      </c>
      <c r="B28" s="339" t="s">
        <v>462</v>
      </c>
      <c r="C28" s="340" t="s">
        <v>238</v>
      </c>
      <c r="D28" s="341" t="s">
        <v>473</v>
      </c>
      <c r="E28" s="342"/>
      <c r="F28" s="341"/>
      <c r="G28" s="339"/>
      <c r="H28" s="339"/>
      <c r="I28" s="343"/>
    </row>
    <row r="29" spans="1:9" ht="30" customHeight="1" x14ac:dyDescent="0.3">
      <c r="A29" s="350">
        <v>18</v>
      </c>
      <c r="B29" s="351" t="s">
        <v>462</v>
      </c>
      <c r="C29" s="352" t="s">
        <v>239</v>
      </c>
      <c r="D29" s="353" t="s">
        <v>474</v>
      </c>
      <c r="E29" s="354"/>
      <c r="F29" s="353"/>
      <c r="G29" s="351"/>
      <c r="H29" s="351"/>
      <c r="I29" s="355"/>
    </row>
    <row r="30" spans="1:9" ht="30" customHeight="1" x14ac:dyDescent="0.3">
      <c r="A30" s="338">
        <v>19</v>
      </c>
      <c r="B30" s="339" t="s">
        <v>462</v>
      </c>
      <c r="C30" s="340" t="s">
        <v>475</v>
      </c>
      <c r="D30" s="341" t="s">
        <v>476</v>
      </c>
      <c r="E30" s="342"/>
      <c r="F30" s="341"/>
      <c r="G30" s="339"/>
      <c r="H30" s="339"/>
      <c r="I30" s="343"/>
    </row>
    <row r="31" spans="1:9" ht="30" customHeight="1" x14ac:dyDescent="0.3">
      <c r="A31" s="350">
        <v>20</v>
      </c>
      <c r="B31" s="351" t="s">
        <v>462</v>
      </c>
      <c r="C31" s="352" t="s">
        <v>349</v>
      </c>
      <c r="D31" s="353" t="s">
        <v>477</v>
      </c>
      <c r="E31" s="354"/>
      <c r="F31" s="353"/>
      <c r="G31" s="351"/>
      <c r="H31" s="351"/>
      <c r="I31" s="355"/>
    </row>
    <row r="32" spans="1:9" ht="6" customHeight="1" x14ac:dyDescent="0.3">
      <c r="A32" s="424"/>
      <c r="B32" s="424"/>
      <c r="C32" s="424"/>
      <c r="D32" s="424"/>
      <c r="E32" s="424"/>
      <c r="F32" s="424"/>
      <c r="G32" s="424"/>
      <c r="H32" s="424"/>
      <c r="I32" s="424"/>
    </row>
    <row r="33" spans="1:9" ht="24" customHeight="1" x14ac:dyDescent="0.3">
      <c r="A33" s="427" t="s">
        <v>478</v>
      </c>
      <c r="B33" s="427"/>
      <c r="C33" s="427"/>
      <c r="D33" s="427"/>
      <c r="E33" s="427"/>
      <c r="F33" s="427"/>
      <c r="G33" s="427"/>
      <c r="H33" s="427"/>
      <c r="I33" s="427"/>
    </row>
    <row r="34" spans="1:9" ht="30" customHeight="1" x14ac:dyDescent="0.3">
      <c r="A34" s="356">
        <v>21</v>
      </c>
      <c r="B34" s="357" t="s">
        <v>479</v>
      </c>
      <c r="C34" s="358" t="s">
        <v>480</v>
      </c>
      <c r="D34" s="359" t="s">
        <v>481</v>
      </c>
      <c r="E34" s="360"/>
      <c r="F34" s="359"/>
      <c r="G34" s="357"/>
      <c r="H34" s="357"/>
      <c r="I34" s="361"/>
    </row>
    <row r="35" spans="1:9" ht="30" customHeight="1" x14ac:dyDescent="0.3">
      <c r="A35" s="338">
        <v>22</v>
      </c>
      <c r="B35" s="339" t="s">
        <v>479</v>
      </c>
      <c r="C35" s="340" t="s">
        <v>159</v>
      </c>
      <c r="D35" s="341" t="s">
        <v>482</v>
      </c>
      <c r="E35" s="342"/>
      <c r="F35" s="341"/>
      <c r="G35" s="339"/>
      <c r="H35" s="339"/>
      <c r="I35" s="343"/>
    </row>
    <row r="36" spans="1:9" ht="30" customHeight="1" x14ac:dyDescent="0.3">
      <c r="A36" s="356">
        <v>23</v>
      </c>
      <c r="B36" s="357" t="s">
        <v>479</v>
      </c>
      <c r="C36" s="358" t="s">
        <v>483</v>
      </c>
      <c r="D36" s="359" t="s">
        <v>531</v>
      </c>
      <c r="E36" s="360"/>
      <c r="F36" s="359"/>
      <c r="G36" s="357"/>
      <c r="H36" s="357"/>
      <c r="I36" s="361"/>
    </row>
    <row r="37" spans="1:9" ht="6" customHeight="1" x14ac:dyDescent="0.3">
      <c r="A37" s="424"/>
      <c r="B37" s="424"/>
      <c r="C37" s="424"/>
      <c r="D37" s="424"/>
      <c r="E37" s="424"/>
      <c r="F37" s="424"/>
      <c r="G37" s="424"/>
      <c r="H37" s="424"/>
      <c r="I37" s="424"/>
    </row>
    <row r="38" spans="1:9" ht="24" customHeight="1" x14ac:dyDescent="0.3">
      <c r="A38" s="420" t="s">
        <v>484</v>
      </c>
      <c r="B38" s="420"/>
      <c r="C38" s="420"/>
      <c r="D38" s="420"/>
      <c r="E38" s="420"/>
      <c r="F38" s="420"/>
      <c r="G38" s="420"/>
      <c r="H38" s="420"/>
      <c r="I38" s="420"/>
    </row>
    <row r="39" spans="1:9" ht="30" customHeight="1" x14ac:dyDescent="0.3">
      <c r="A39" s="362">
        <v>24</v>
      </c>
      <c r="B39" s="363" t="s">
        <v>485</v>
      </c>
      <c r="C39" s="364" t="s">
        <v>486</v>
      </c>
      <c r="D39" s="365" t="s">
        <v>487</v>
      </c>
      <c r="E39" s="366"/>
      <c r="F39" s="365"/>
      <c r="G39" s="363"/>
      <c r="H39" s="363"/>
      <c r="I39" s="367"/>
    </row>
    <row r="40" spans="1:9" ht="30" customHeight="1" x14ac:dyDescent="0.3">
      <c r="A40" s="338">
        <v>25</v>
      </c>
      <c r="B40" s="339" t="s">
        <v>485</v>
      </c>
      <c r="C40" s="340" t="s">
        <v>488</v>
      </c>
      <c r="D40" s="341" t="s">
        <v>489</v>
      </c>
      <c r="E40" s="342"/>
      <c r="F40" s="341"/>
      <c r="G40" s="339"/>
      <c r="H40" s="339"/>
      <c r="I40" s="343"/>
    </row>
    <row r="41" spans="1:9" ht="30" customHeight="1" x14ac:dyDescent="0.3">
      <c r="A41" s="362">
        <v>26</v>
      </c>
      <c r="B41" s="363" t="s">
        <v>485</v>
      </c>
      <c r="C41" s="364" t="s">
        <v>490</v>
      </c>
      <c r="D41" s="365" t="s">
        <v>491</v>
      </c>
      <c r="E41" s="366"/>
      <c r="F41" s="365"/>
      <c r="G41" s="363"/>
      <c r="H41" s="363"/>
      <c r="I41" s="367"/>
    </row>
    <row r="42" spans="1:9" ht="30" customHeight="1" x14ac:dyDescent="0.3">
      <c r="A42" s="338">
        <v>27</v>
      </c>
      <c r="B42" s="339" t="s">
        <v>485</v>
      </c>
      <c r="C42" s="340" t="s">
        <v>492</v>
      </c>
      <c r="D42" s="341" t="s">
        <v>493</v>
      </c>
      <c r="E42" s="342"/>
      <c r="F42" s="341"/>
      <c r="G42" s="339"/>
      <c r="H42" s="339"/>
      <c r="I42" s="343"/>
    </row>
    <row r="43" spans="1:9" ht="30" customHeight="1" x14ac:dyDescent="0.3">
      <c r="A43" s="362">
        <v>28</v>
      </c>
      <c r="B43" s="363" t="s">
        <v>485</v>
      </c>
      <c r="C43" s="364" t="s">
        <v>494</v>
      </c>
      <c r="D43" s="365" t="s">
        <v>495</v>
      </c>
      <c r="E43" s="366"/>
      <c r="F43" s="365"/>
      <c r="G43" s="363"/>
      <c r="H43" s="363"/>
      <c r="I43" s="367"/>
    </row>
    <row r="44" spans="1:9" ht="30" customHeight="1" x14ac:dyDescent="0.3">
      <c r="A44" s="338">
        <v>29</v>
      </c>
      <c r="B44" s="339" t="s">
        <v>485</v>
      </c>
      <c r="C44" s="340" t="s">
        <v>496</v>
      </c>
      <c r="D44" s="341" t="s">
        <v>497</v>
      </c>
      <c r="E44" s="342"/>
      <c r="F44" s="341"/>
      <c r="G44" s="339"/>
      <c r="H44" s="339"/>
      <c r="I44" s="343"/>
    </row>
    <row r="45" spans="1:9" ht="30" customHeight="1" x14ac:dyDescent="0.3">
      <c r="A45" s="362">
        <v>30</v>
      </c>
      <c r="B45" s="363" t="s">
        <v>485</v>
      </c>
      <c r="C45" s="364" t="s">
        <v>498</v>
      </c>
      <c r="D45" s="365" t="s">
        <v>499</v>
      </c>
      <c r="E45" s="366"/>
      <c r="F45" s="365"/>
      <c r="G45" s="363"/>
      <c r="H45" s="363"/>
      <c r="I45" s="367"/>
    </row>
    <row r="46" spans="1:9" ht="30" customHeight="1" x14ac:dyDescent="0.3">
      <c r="A46" s="338">
        <v>31</v>
      </c>
      <c r="B46" s="339" t="s">
        <v>485</v>
      </c>
      <c r="C46" s="340" t="s">
        <v>500</v>
      </c>
      <c r="D46" s="341" t="s">
        <v>501</v>
      </c>
      <c r="E46" s="342"/>
      <c r="F46" s="341"/>
      <c r="G46" s="339"/>
      <c r="H46" s="339"/>
      <c r="I46" s="343"/>
    </row>
    <row r="47" spans="1:9" ht="30" customHeight="1" x14ac:dyDescent="0.3">
      <c r="A47" s="362">
        <v>32</v>
      </c>
      <c r="B47" s="363" t="s">
        <v>485</v>
      </c>
      <c r="C47" s="364" t="s">
        <v>164</v>
      </c>
      <c r="D47" s="365" t="s">
        <v>502</v>
      </c>
      <c r="E47" s="366"/>
      <c r="F47" s="365"/>
      <c r="G47" s="363"/>
      <c r="H47" s="363"/>
      <c r="I47" s="367"/>
    </row>
    <row r="48" spans="1:9" ht="6" customHeight="1" x14ac:dyDescent="0.3">
      <c r="A48" s="424"/>
      <c r="B48" s="424"/>
      <c r="C48" s="424"/>
      <c r="D48" s="424"/>
      <c r="E48" s="424"/>
      <c r="F48" s="424"/>
      <c r="G48" s="424"/>
      <c r="H48" s="424"/>
      <c r="I48" s="424"/>
    </row>
    <row r="49" spans="1:9" ht="24" customHeight="1" x14ac:dyDescent="0.3">
      <c r="A49" s="428" t="s">
        <v>503</v>
      </c>
      <c r="B49" s="428"/>
      <c r="C49" s="428"/>
      <c r="D49" s="428"/>
      <c r="E49" s="428"/>
      <c r="F49" s="428"/>
      <c r="G49" s="428"/>
      <c r="H49" s="428"/>
      <c r="I49" s="428"/>
    </row>
    <row r="50" spans="1:9" ht="30" customHeight="1" x14ac:dyDescent="0.3">
      <c r="A50" s="332">
        <v>33</v>
      </c>
      <c r="B50" s="333" t="s">
        <v>504</v>
      </c>
      <c r="C50" s="334" t="s">
        <v>505</v>
      </c>
      <c r="D50" s="335" t="s">
        <v>506</v>
      </c>
      <c r="E50" s="336"/>
      <c r="F50" s="335"/>
      <c r="G50" s="333"/>
      <c r="H50" s="333"/>
      <c r="I50" s="337"/>
    </row>
    <row r="51" spans="1:9" ht="30" customHeight="1" x14ac:dyDescent="0.3">
      <c r="A51" s="338">
        <v>34</v>
      </c>
      <c r="B51" s="339" t="s">
        <v>504</v>
      </c>
      <c r="C51" s="340" t="s">
        <v>507</v>
      </c>
      <c r="D51" s="341" t="s">
        <v>508</v>
      </c>
      <c r="E51" s="342"/>
      <c r="F51" s="341"/>
      <c r="G51" s="339"/>
      <c r="H51" s="339"/>
      <c r="I51" s="343"/>
    </row>
    <row r="52" spans="1:9" ht="30" customHeight="1" x14ac:dyDescent="0.3">
      <c r="A52" s="332">
        <v>35</v>
      </c>
      <c r="B52" s="333" t="s">
        <v>504</v>
      </c>
      <c r="C52" s="334" t="s">
        <v>509</v>
      </c>
      <c r="D52" s="335" t="s">
        <v>510</v>
      </c>
      <c r="E52" s="336"/>
      <c r="F52" s="335"/>
      <c r="G52" s="333"/>
      <c r="H52" s="333"/>
      <c r="I52" s="337"/>
    </row>
    <row r="53" spans="1:9" ht="30" customHeight="1" x14ac:dyDescent="0.3">
      <c r="A53" s="338">
        <v>36</v>
      </c>
      <c r="B53" s="339" t="s">
        <v>504</v>
      </c>
      <c r="C53" s="340" t="s">
        <v>511</v>
      </c>
      <c r="D53" s="341" t="s">
        <v>512</v>
      </c>
      <c r="E53" s="342"/>
      <c r="F53" s="341"/>
      <c r="G53" s="339"/>
      <c r="H53" s="339"/>
      <c r="I53" s="343"/>
    </row>
    <row r="54" spans="1:9" ht="30" customHeight="1" x14ac:dyDescent="0.3">
      <c r="A54" s="332">
        <v>37</v>
      </c>
      <c r="B54" s="333" t="s">
        <v>504</v>
      </c>
      <c r="C54" s="334" t="s">
        <v>513</v>
      </c>
      <c r="D54" s="335" t="s">
        <v>514</v>
      </c>
      <c r="E54" s="336"/>
      <c r="F54" s="335"/>
      <c r="G54" s="333"/>
      <c r="H54" s="333"/>
      <c r="I54" s="337"/>
    </row>
    <row r="55" spans="1:9" ht="30" customHeight="1" x14ac:dyDescent="0.3">
      <c r="A55" s="338">
        <v>38</v>
      </c>
      <c r="B55" s="339" t="s">
        <v>504</v>
      </c>
      <c r="C55" s="340" t="s">
        <v>515</v>
      </c>
      <c r="D55" s="341" t="s">
        <v>516</v>
      </c>
      <c r="E55" s="342"/>
      <c r="F55" s="341"/>
      <c r="G55" s="339"/>
      <c r="H55" s="339"/>
      <c r="I55" s="343"/>
    </row>
    <row r="56" spans="1:9" ht="6" customHeight="1" x14ac:dyDescent="0.3">
      <c r="A56" s="424"/>
      <c r="B56" s="424"/>
      <c r="C56" s="424"/>
      <c r="D56" s="424"/>
      <c r="E56" s="424"/>
      <c r="F56" s="424"/>
      <c r="G56" s="424"/>
      <c r="H56" s="424"/>
      <c r="I56" s="424"/>
    </row>
    <row r="57" spans="1:9" ht="24" customHeight="1" x14ac:dyDescent="0.3">
      <c r="A57" s="429" t="s">
        <v>517</v>
      </c>
      <c r="B57" s="429"/>
      <c r="C57" s="429"/>
      <c r="D57" s="429"/>
      <c r="E57" s="429"/>
      <c r="F57" s="429"/>
      <c r="G57" s="429"/>
      <c r="H57" s="429"/>
      <c r="I57" s="429"/>
    </row>
    <row r="58" spans="1:9" ht="30" customHeight="1" x14ac:dyDescent="0.3">
      <c r="A58" s="350">
        <v>39</v>
      </c>
      <c r="B58" s="351" t="s">
        <v>518</v>
      </c>
      <c r="C58" s="352" t="s">
        <v>519</v>
      </c>
      <c r="D58" s="353" t="s">
        <v>520</v>
      </c>
      <c r="E58" s="354"/>
      <c r="F58" s="353"/>
      <c r="G58" s="351"/>
      <c r="H58" s="351"/>
      <c r="I58" s="355"/>
    </row>
    <row r="59" spans="1:9" ht="30" customHeight="1" x14ac:dyDescent="0.3">
      <c r="A59" s="338">
        <v>40</v>
      </c>
      <c r="B59" s="339" t="s">
        <v>518</v>
      </c>
      <c r="C59" s="340" t="s">
        <v>521</v>
      </c>
      <c r="D59" s="341" t="s">
        <v>522</v>
      </c>
      <c r="E59" s="342"/>
      <c r="F59" s="341"/>
      <c r="G59" s="339"/>
      <c r="H59" s="339"/>
      <c r="I59" s="343"/>
    </row>
    <row r="60" spans="1:9" ht="6" customHeight="1" x14ac:dyDescent="0.3">
      <c r="A60" s="424"/>
      <c r="B60" s="424"/>
      <c r="C60" s="424"/>
      <c r="D60" s="424"/>
      <c r="E60" s="424"/>
      <c r="F60" s="424"/>
      <c r="G60" s="424"/>
      <c r="H60" s="424"/>
      <c r="I60" s="424"/>
    </row>
    <row r="61" spans="1:9" ht="24" customHeight="1" x14ac:dyDescent="0.3">
      <c r="A61" s="430" t="s">
        <v>523</v>
      </c>
      <c r="B61" s="430"/>
      <c r="C61" s="430"/>
      <c r="D61" s="430"/>
      <c r="E61" s="430"/>
      <c r="F61" s="430"/>
      <c r="G61" s="430"/>
      <c r="H61" s="430"/>
      <c r="I61" s="430"/>
    </row>
    <row r="62" spans="1:9" ht="30" customHeight="1" x14ac:dyDescent="0.3">
      <c r="A62" s="368">
        <v>41</v>
      </c>
      <c r="B62" s="369" t="s">
        <v>524</v>
      </c>
      <c r="C62" s="370" t="s">
        <v>525</v>
      </c>
      <c r="D62" s="371" t="s">
        <v>526</v>
      </c>
      <c r="E62" s="372"/>
      <c r="F62" s="371"/>
      <c r="G62" s="369"/>
      <c r="H62" s="369"/>
      <c r="I62" s="373"/>
    </row>
    <row r="63" spans="1:9" ht="30" customHeight="1" x14ac:dyDescent="0.3">
      <c r="A63" s="338">
        <v>42</v>
      </c>
      <c r="B63" s="339" t="s">
        <v>524</v>
      </c>
      <c r="C63" s="340" t="s">
        <v>527</v>
      </c>
      <c r="D63" s="341" t="s">
        <v>528</v>
      </c>
      <c r="E63" s="342"/>
      <c r="F63" s="341"/>
      <c r="G63" s="339"/>
      <c r="H63" s="339"/>
      <c r="I63" s="343"/>
    </row>
    <row r="64" spans="1:9" ht="30" customHeight="1" x14ac:dyDescent="0.3">
      <c r="A64" s="368">
        <v>43</v>
      </c>
      <c r="B64" s="369" t="s">
        <v>524</v>
      </c>
      <c r="C64" s="370" t="s">
        <v>529</v>
      </c>
      <c r="D64" s="371" t="s">
        <v>530</v>
      </c>
      <c r="E64" s="372"/>
      <c r="F64" s="371"/>
      <c r="G64" s="369"/>
      <c r="H64" s="369"/>
      <c r="I64" s="373"/>
    </row>
    <row r="65" spans="1:9" ht="6" customHeight="1" x14ac:dyDescent="0.3">
      <c r="A65" s="424"/>
      <c r="B65" s="424"/>
      <c r="C65" s="424"/>
      <c r="D65" s="424"/>
      <c r="E65" s="424"/>
      <c r="F65" s="424"/>
      <c r="G65" s="424"/>
      <c r="H65" s="424"/>
      <c r="I65" s="424"/>
    </row>
  </sheetData>
  <mergeCells count="18">
    <mergeCell ref="A65:I65"/>
    <mergeCell ref="A48:I48"/>
    <mergeCell ref="A49:I49"/>
    <mergeCell ref="A56:I56"/>
    <mergeCell ref="A57:I57"/>
    <mergeCell ref="A60:I60"/>
    <mergeCell ref="A61:I61"/>
    <mergeCell ref="A38:I38"/>
    <mergeCell ref="A1:I1"/>
    <mergeCell ref="A2:I2"/>
    <mergeCell ref="A7:I7"/>
    <mergeCell ref="A15:I15"/>
    <mergeCell ref="A16:I16"/>
    <mergeCell ref="A21:I21"/>
    <mergeCell ref="A22:I22"/>
    <mergeCell ref="A32:I32"/>
    <mergeCell ref="A33:I33"/>
    <mergeCell ref="A37:I37"/>
  </mergeCells>
  <dataValidations count="1">
    <dataValidation type="list" allowBlank="1" sqref="E7:E502" xr:uid="{7D176FDF-4349-44A6-92F9-BC666AEC5B80}">
      <formula1>"Sin iniciar,En proceso,Finalizado,No aplica,Devuelto"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BE9-C0E2-407D-BCEF-D4C7A244596E}">
  <sheetPr codeName="Hoja11"/>
  <dimension ref="C3:BB83"/>
  <sheetViews>
    <sheetView showGridLines="0" topLeftCell="A9" zoomScale="70" zoomScaleNormal="70" workbookViewId="0">
      <pane xSplit="5" ySplit="2" topLeftCell="F32" activePane="bottomRight" state="frozen"/>
      <selection pane="topRight"/>
      <selection pane="bottomLeft"/>
      <selection pane="bottomRight" activeCell="F32" sqref="F32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6.44140625" style="76" customWidth="1"/>
    <col min="10" max="10" width="35.5546875" style="1" customWidth="1"/>
    <col min="11" max="11" width="34.5546875" style="1" customWidth="1"/>
    <col min="12" max="12" width="48.44140625" style="1" customWidth="1"/>
    <col min="13" max="14" width="15.5546875" style="1" customWidth="1"/>
    <col min="15" max="15" width="26.44140625" style="1" customWidth="1"/>
    <col min="16" max="16" width="23" style="1" customWidth="1"/>
    <col min="17" max="17" width="25.44140625" style="1" customWidth="1"/>
    <col min="18" max="19" width="45.5546875" customWidth="1"/>
    <col min="20" max="20" width="24" customWidth="1"/>
    <col min="21" max="21" width="31.44140625" customWidth="1"/>
    <col min="22" max="22" width="49.5546875" customWidth="1"/>
    <col min="23" max="23" width="20.5546875" customWidth="1"/>
    <col min="24" max="25" width="17.44140625" customWidth="1"/>
    <col min="26" max="26" width="36.5546875" customWidth="1"/>
    <col min="27" max="27" width="17.44140625" customWidth="1"/>
    <col min="28" max="28" width="37.88671875" customWidth="1"/>
    <col min="29" max="29" width="30.44140625" customWidth="1"/>
    <col min="30" max="30" width="37.5546875" customWidth="1"/>
    <col min="31" max="31" width="31.44140625" customWidth="1"/>
    <col min="32" max="32" width="15.44140625" customWidth="1"/>
    <col min="33" max="33" width="12.44140625" customWidth="1"/>
    <col min="34" max="34" width="28.5546875" customWidth="1"/>
    <col min="35" max="35" width="21.5546875" customWidth="1"/>
    <col min="36" max="36" width="54.44140625" customWidth="1"/>
    <col min="37" max="37" width="78.88671875" customWidth="1"/>
    <col min="38" max="38" width="37" customWidth="1"/>
    <col min="39" max="39" width="44" customWidth="1"/>
    <col min="40" max="40" width="21.5546875" customWidth="1"/>
    <col min="41" max="41" width="19.88671875" customWidth="1"/>
    <col min="42" max="42" width="23.5546875" customWidth="1"/>
    <col min="43" max="43" width="43.5546875" customWidth="1"/>
    <col min="44" max="44" width="35.44140625" customWidth="1"/>
    <col min="45" max="45" width="27.5546875" customWidth="1"/>
    <col min="46" max="46" width="31.44140625" customWidth="1"/>
    <col min="47" max="47" width="56.5546875" customWidth="1"/>
    <col min="48" max="48" width="29.44140625" customWidth="1"/>
    <col min="49" max="49" width="27" customWidth="1"/>
    <col min="50" max="50" width="30.44140625" customWidth="1"/>
    <col min="51" max="51" width="32.44140625" customWidth="1"/>
  </cols>
  <sheetData>
    <row r="3" spans="3:54" ht="32.85" customHeight="1" x14ac:dyDescent="0.3">
      <c r="O3" s="381" t="s">
        <v>191</v>
      </c>
      <c r="P3" s="381"/>
      <c r="Q3" s="381"/>
      <c r="R3" s="381"/>
      <c r="S3" s="381"/>
      <c r="T3" s="381"/>
      <c r="U3" s="381"/>
      <c r="V3" s="381"/>
      <c r="W3" s="381"/>
      <c r="X3" s="381"/>
    </row>
    <row r="4" spans="3:54" x14ac:dyDescent="0.3">
      <c r="J4" s="3" t="s">
        <v>192</v>
      </c>
      <c r="O4" s="381"/>
      <c r="P4" s="381"/>
      <c r="Q4" s="381"/>
      <c r="R4" s="381"/>
      <c r="S4" s="381"/>
      <c r="T4" s="381"/>
      <c r="U4" s="381"/>
      <c r="V4" s="381"/>
      <c r="W4" s="381"/>
      <c r="X4" s="381"/>
    </row>
    <row r="5" spans="3:54" x14ac:dyDescent="0.3">
      <c r="J5" s="3" t="s">
        <v>193</v>
      </c>
    </row>
    <row r="6" spans="3:54" x14ac:dyDescent="0.3">
      <c r="J6" s="3" t="s">
        <v>194</v>
      </c>
    </row>
    <row r="7" spans="3:54" ht="14.85" customHeight="1" x14ac:dyDescent="0.3">
      <c r="C7" s="4"/>
      <c r="D7" s="4"/>
      <c r="E7" s="4"/>
      <c r="F7" s="4"/>
      <c r="G7" s="4"/>
      <c r="H7" s="4"/>
      <c r="I7" s="75"/>
    </row>
    <row r="8" spans="3:54" ht="43.5" customHeight="1" x14ac:dyDescent="0.3">
      <c r="C8" s="4"/>
      <c r="D8" s="4"/>
      <c r="E8" s="4"/>
      <c r="F8" s="4"/>
      <c r="G8" s="4"/>
      <c r="H8" s="4"/>
      <c r="I8" s="75"/>
      <c r="J8" s="408" t="s">
        <v>195</v>
      </c>
      <c r="K8" s="408"/>
      <c r="L8" s="408"/>
      <c r="M8" s="408"/>
      <c r="N8" s="408"/>
      <c r="O8" s="408"/>
      <c r="P8" s="408"/>
      <c r="Q8" s="408"/>
      <c r="R8" s="5" t="s">
        <v>196</v>
      </c>
      <c r="S8" s="5"/>
      <c r="T8" s="5"/>
      <c r="U8" s="18" t="s">
        <v>197</v>
      </c>
      <c r="V8" s="73"/>
      <c r="W8" s="73"/>
      <c r="X8" s="412" t="s">
        <v>198</v>
      </c>
      <c r="Y8" s="413"/>
      <c r="Z8" s="413"/>
      <c r="AA8" s="414"/>
      <c r="AB8" s="415" t="s">
        <v>199</v>
      </c>
      <c r="AC8" s="417" t="s">
        <v>200</v>
      </c>
      <c r="AD8" s="418"/>
      <c r="AE8" s="418"/>
      <c r="AF8" s="418"/>
      <c r="AG8" s="418"/>
      <c r="AH8" s="418"/>
      <c r="AI8" s="405" t="s">
        <v>201</v>
      </c>
      <c r="AJ8" s="405"/>
      <c r="AK8" s="405"/>
      <c r="AL8" s="405"/>
      <c r="AM8" s="405"/>
      <c r="AN8" s="405"/>
      <c r="AO8" s="402" t="s">
        <v>202</v>
      </c>
      <c r="AP8" s="402"/>
      <c r="AQ8" s="402"/>
      <c r="AR8" s="402"/>
      <c r="AS8" s="392" t="s">
        <v>203</v>
      </c>
      <c r="AT8" s="392"/>
      <c r="AU8" s="392"/>
      <c r="AV8" s="14"/>
      <c r="AW8" s="14"/>
      <c r="AX8" s="14"/>
      <c r="AY8" s="14"/>
    </row>
    <row r="9" spans="3:54" s="2" customFormat="1" ht="58.35" customHeight="1" x14ac:dyDescent="0.3">
      <c r="C9" s="407" t="s">
        <v>204</v>
      </c>
      <c r="D9" s="407"/>
      <c r="E9" s="407"/>
      <c r="F9" s="407"/>
      <c r="G9" s="407"/>
      <c r="H9" s="407"/>
      <c r="I9" s="407"/>
      <c r="J9" s="408" t="s">
        <v>18</v>
      </c>
      <c r="K9" s="408"/>
      <c r="L9" s="408"/>
      <c r="M9" s="408"/>
      <c r="N9" s="408"/>
      <c r="O9" s="408"/>
      <c r="P9" s="408"/>
      <c r="Q9" s="408"/>
      <c r="R9" s="79"/>
      <c r="S9" s="80"/>
      <c r="T9" s="80"/>
      <c r="U9" s="80"/>
      <c r="V9" s="412" t="s">
        <v>208</v>
      </c>
      <c r="W9" s="413"/>
      <c r="X9" s="413"/>
      <c r="Y9" s="413"/>
      <c r="Z9" s="413"/>
      <c r="AA9" s="414"/>
      <c r="AB9" s="416"/>
      <c r="AC9" s="419" t="s">
        <v>209</v>
      </c>
      <c r="AD9" s="419"/>
      <c r="AE9" s="419"/>
      <c r="AF9" s="419"/>
      <c r="AG9" s="419"/>
      <c r="AH9" s="419"/>
      <c r="AI9" s="406" t="s">
        <v>201</v>
      </c>
      <c r="AJ9" s="406"/>
      <c r="AK9" s="406"/>
      <c r="AL9" s="406"/>
      <c r="AM9" s="406"/>
      <c r="AN9" s="406"/>
      <c r="AO9" s="403" t="s">
        <v>210</v>
      </c>
      <c r="AP9" s="403"/>
      <c r="AQ9" s="403"/>
      <c r="AR9" s="403"/>
      <c r="AS9" s="404" t="s">
        <v>211</v>
      </c>
      <c r="AT9" s="404"/>
      <c r="AU9" s="404"/>
      <c r="AV9" s="81" t="s">
        <v>212</v>
      </c>
      <c r="AW9" s="81" t="s">
        <v>213</v>
      </c>
      <c r="AX9" s="81" t="s">
        <v>214</v>
      </c>
      <c r="AY9" s="82" t="s">
        <v>215</v>
      </c>
      <c r="BB9" s="2" t="s">
        <v>216</v>
      </c>
    </row>
    <row r="10" spans="3:54" ht="62.85" customHeight="1" x14ac:dyDescent="0.3">
      <c r="C10" s="90" t="s">
        <v>217</v>
      </c>
      <c r="D10" s="91" t="s">
        <v>218</v>
      </c>
      <c r="E10" s="91" t="s">
        <v>219</v>
      </c>
      <c r="F10" s="91" t="s">
        <v>220</v>
      </c>
      <c r="G10" s="91" t="s">
        <v>221</v>
      </c>
      <c r="H10" s="91" t="s">
        <v>222</v>
      </c>
      <c r="I10" s="92" t="s">
        <v>223</v>
      </c>
      <c r="J10" s="93" t="s">
        <v>224</v>
      </c>
      <c r="K10" s="93" t="s">
        <v>225</v>
      </c>
      <c r="L10" s="93" t="s">
        <v>226</v>
      </c>
      <c r="M10" s="93" t="s">
        <v>227</v>
      </c>
      <c r="N10" s="93" t="s">
        <v>228</v>
      </c>
      <c r="O10" s="93" t="s">
        <v>229</v>
      </c>
      <c r="P10" s="93" t="s">
        <v>230</v>
      </c>
      <c r="Q10" s="94" t="s">
        <v>232</v>
      </c>
      <c r="R10" s="95" t="s">
        <v>205</v>
      </c>
      <c r="S10" s="96" t="s">
        <v>206</v>
      </c>
      <c r="T10" s="97" t="s">
        <v>158</v>
      </c>
      <c r="U10" s="96" t="s">
        <v>207</v>
      </c>
      <c r="V10" s="98" t="s">
        <v>234</v>
      </c>
      <c r="W10" s="98" t="s">
        <v>235</v>
      </c>
      <c r="X10" s="98" t="s">
        <v>236</v>
      </c>
      <c r="Y10" s="99" t="s">
        <v>237</v>
      </c>
      <c r="Z10" s="99" t="s">
        <v>239</v>
      </c>
      <c r="AA10" s="98" t="s">
        <v>240</v>
      </c>
      <c r="AB10" s="100" t="s">
        <v>241</v>
      </c>
      <c r="AC10" s="101" t="s">
        <v>242</v>
      </c>
      <c r="AD10" s="101" t="s">
        <v>243</v>
      </c>
      <c r="AE10" s="101" t="s">
        <v>244</v>
      </c>
      <c r="AF10" s="101" t="s">
        <v>245</v>
      </c>
      <c r="AG10" s="101" t="s">
        <v>246</v>
      </c>
      <c r="AH10" s="102" t="s">
        <v>160</v>
      </c>
      <c r="AI10" s="103" t="s">
        <v>159</v>
      </c>
      <c r="AJ10" s="103" t="s">
        <v>248</v>
      </c>
      <c r="AK10" s="104" t="s">
        <v>249</v>
      </c>
      <c r="AL10" s="105" t="s">
        <v>250</v>
      </c>
      <c r="AM10" s="105" t="s">
        <v>251</v>
      </c>
      <c r="AN10" s="105" t="s">
        <v>247</v>
      </c>
      <c r="AO10" s="106" t="s">
        <v>252</v>
      </c>
      <c r="AP10" s="106" t="s">
        <v>163</v>
      </c>
      <c r="AQ10" s="106" t="s">
        <v>164</v>
      </c>
      <c r="AR10" s="106" t="s">
        <v>255</v>
      </c>
      <c r="AS10" s="107" t="s">
        <v>257</v>
      </c>
      <c r="AT10" s="107" t="s">
        <v>258</v>
      </c>
      <c r="AU10" s="107" t="s">
        <v>259</v>
      </c>
      <c r="AV10" s="108" t="s">
        <v>212</v>
      </c>
      <c r="AW10" s="108" t="s">
        <v>213</v>
      </c>
      <c r="AX10" s="106" t="s">
        <v>214</v>
      </c>
      <c r="AY10" s="109" t="s">
        <v>215</v>
      </c>
    </row>
    <row r="11" spans="3:54" ht="52.2" x14ac:dyDescent="0.3">
      <c r="C11" s="87" t="s">
        <v>4</v>
      </c>
      <c r="D11" s="19" t="s">
        <v>263</v>
      </c>
      <c r="E11" s="23" t="s">
        <v>264</v>
      </c>
      <c r="F11" s="19" t="s">
        <v>100</v>
      </c>
      <c r="G11" s="19" t="s">
        <v>89</v>
      </c>
      <c r="H11" s="19" t="s">
        <v>265</v>
      </c>
      <c r="I11" s="77">
        <v>108274</v>
      </c>
      <c r="J11" s="12" t="s">
        <v>193</v>
      </c>
      <c r="K11" s="12" t="s">
        <v>193</v>
      </c>
      <c r="L11" s="12" t="s">
        <v>193</v>
      </c>
      <c r="M11" s="36"/>
      <c r="N11" s="37">
        <v>45870</v>
      </c>
      <c r="O11" s="12"/>
      <c r="P11" s="12"/>
      <c r="Q11" s="12"/>
      <c r="R11" s="12" t="s">
        <v>193</v>
      </c>
      <c r="S11" s="12"/>
      <c r="T11" s="12" t="s">
        <v>194</v>
      </c>
      <c r="U11" s="12"/>
      <c r="V11" s="74"/>
      <c r="W11" s="12"/>
      <c r="X11" s="52"/>
      <c r="Y11" s="12"/>
      <c r="Z11" s="12"/>
      <c r="AA11" s="12"/>
      <c r="AB11" s="12"/>
      <c r="AC11" s="11" t="s">
        <v>266</v>
      </c>
      <c r="AD11" s="11"/>
      <c r="AE11" s="11"/>
      <c r="AF11" s="11"/>
      <c r="AG11" s="11"/>
      <c r="AH11" s="11"/>
      <c r="AI11" s="12" t="s">
        <v>194</v>
      </c>
      <c r="AJ11" s="12" t="s">
        <v>194</v>
      </c>
      <c r="AK11" s="12" t="s">
        <v>194</v>
      </c>
      <c r="AL11" s="12" t="s">
        <v>194</v>
      </c>
      <c r="AM11" s="12" t="s">
        <v>194</v>
      </c>
      <c r="AN11" s="11">
        <v>0</v>
      </c>
      <c r="AO11" s="12" t="s">
        <v>194</v>
      </c>
      <c r="AP11" s="12" t="s">
        <v>194</v>
      </c>
      <c r="AQ11" s="12" t="s">
        <v>194</v>
      </c>
      <c r="AR11" s="12" t="s">
        <v>194</v>
      </c>
      <c r="AS11" s="12"/>
      <c r="AT11" s="12"/>
      <c r="AU11" s="12"/>
      <c r="AV11" s="11"/>
      <c r="AW11" s="11"/>
      <c r="AX11" s="32" t="s">
        <v>15</v>
      </c>
      <c r="AY11" s="12"/>
    </row>
    <row r="12" spans="3:54" ht="52.2" x14ac:dyDescent="0.3">
      <c r="C12" s="87" t="s">
        <v>4</v>
      </c>
      <c r="D12" s="19" t="s">
        <v>269</v>
      </c>
      <c r="E12" s="24" t="s">
        <v>105</v>
      </c>
      <c r="F12" s="32" t="s">
        <v>88</v>
      </c>
      <c r="G12" s="19" t="s">
        <v>89</v>
      </c>
      <c r="H12" s="32" t="s">
        <v>262</v>
      </c>
      <c r="I12" s="77">
        <v>111231</v>
      </c>
      <c r="J12" s="12" t="s">
        <v>193</v>
      </c>
      <c r="K12" s="12" t="s">
        <v>193</v>
      </c>
      <c r="L12" s="12" t="s">
        <v>193</v>
      </c>
      <c r="M12" s="36">
        <v>45877</v>
      </c>
      <c r="N12" s="37">
        <v>45884</v>
      </c>
      <c r="O12" s="12"/>
      <c r="P12" s="12" t="s">
        <v>270</v>
      </c>
      <c r="Q12" s="12" t="s">
        <v>193</v>
      </c>
      <c r="R12" s="12" t="s">
        <v>193</v>
      </c>
      <c r="S12" s="12"/>
      <c r="T12" s="12" t="s">
        <v>194</v>
      </c>
      <c r="U12" s="12"/>
      <c r="V12" s="74"/>
      <c r="W12" s="12"/>
      <c r="X12" s="52" t="s">
        <v>327</v>
      </c>
      <c r="Y12" s="12"/>
      <c r="Z12" s="12"/>
      <c r="AA12" s="12"/>
      <c r="AB12" s="12"/>
      <c r="AC12" s="11">
        <v>1</v>
      </c>
      <c r="AD12" s="11">
        <v>10</v>
      </c>
      <c r="AE12" s="11">
        <v>11</v>
      </c>
      <c r="AF12" s="11"/>
      <c r="AG12" s="11"/>
      <c r="AH12" s="69">
        <v>0.18</v>
      </c>
      <c r="AI12" s="12" t="s">
        <v>194</v>
      </c>
      <c r="AJ12" s="12" t="s">
        <v>194</v>
      </c>
      <c r="AK12" s="12" t="s">
        <v>194</v>
      </c>
      <c r="AL12" s="12" t="s">
        <v>194</v>
      </c>
      <c r="AM12" s="12" t="s">
        <v>194</v>
      </c>
      <c r="AN12" s="11"/>
      <c r="AO12" s="12" t="s">
        <v>194</v>
      </c>
      <c r="AP12" s="12" t="s">
        <v>194</v>
      </c>
      <c r="AQ12" s="12" t="s">
        <v>194</v>
      </c>
      <c r="AR12" s="12" t="s">
        <v>192</v>
      </c>
      <c r="AS12" s="12"/>
      <c r="AT12" s="12"/>
      <c r="AU12" s="12"/>
      <c r="AV12" s="11"/>
      <c r="AW12" s="11"/>
      <c r="AX12" s="32" t="s">
        <v>14</v>
      </c>
      <c r="AY12" s="12"/>
    </row>
    <row r="13" spans="3:54" ht="52.2" x14ac:dyDescent="0.3">
      <c r="C13" s="87" t="s">
        <v>4</v>
      </c>
      <c r="D13" s="19" t="s">
        <v>269</v>
      </c>
      <c r="E13" s="19" t="s">
        <v>104</v>
      </c>
      <c r="F13" s="19" t="s">
        <v>88</v>
      </c>
      <c r="G13" s="19" t="s">
        <v>106</v>
      </c>
      <c r="H13" s="32" t="s">
        <v>262</v>
      </c>
      <c r="I13" s="77">
        <v>101647</v>
      </c>
      <c r="J13" s="12" t="s">
        <v>193</v>
      </c>
      <c r="K13" s="12" t="s">
        <v>193</v>
      </c>
      <c r="L13" s="12" t="s">
        <v>193</v>
      </c>
      <c r="M13" s="36">
        <v>45877</v>
      </c>
      <c r="N13" s="37">
        <v>45884</v>
      </c>
      <c r="O13" s="12"/>
      <c r="P13" s="12" t="s">
        <v>270</v>
      </c>
      <c r="Q13" s="12" t="s">
        <v>193</v>
      </c>
      <c r="R13" s="12" t="s">
        <v>193</v>
      </c>
      <c r="S13" s="12"/>
      <c r="T13" s="12" t="s">
        <v>194</v>
      </c>
      <c r="U13" s="12"/>
      <c r="V13" s="74"/>
      <c r="W13" s="12"/>
      <c r="X13" s="52"/>
      <c r="Y13" s="12"/>
      <c r="Z13" s="12"/>
      <c r="AA13" s="12"/>
      <c r="AB13" s="12"/>
      <c r="AC13" s="11">
        <v>4</v>
      </c>
      <c r="AD13" s="11">
        <v>0</v>
      </c>
      <c r="AE13" s="11">
        <v>4</v>
      </c>
      <c r="AF13" s="11"/>
      <c r="AG13" s="11"/>
      <c r="AH13" s="68">
        <v>0.9</v>
      </c>
      <c r="AI13" s="12"/>
      <c r="AJ13" s="12"/>
      <c r="AK13" s="12"/>
      <c r="AL13" s="12"/>
      <c r="AM13" s="12"/>
      <c r="AN13" s="11"/>
      <c r="AO13" s="12" t="s">
        <v>194</v>
      </c>
      <c r="AP13" s="12" t="s">
        <v>194</v>
      </c>
      <c r="AQ13" s="12" t="s">
        <v>194</v>
      </c>
      <c r="AR13" s="12" t="s">
        <v>192</v>
      </c>
      <c r="AS13" s="12"/>
      <c r="AT13" s="12"/>
      <c r="AU13" s="12"/>
      <c r="AV13" s="11"/>
      <c r="AW13" s="11"/>
      <c r="AX13" s="32" t="s">
        <v>14</v>
      </c>
      <c r="AY13" s="12"/>
    </row>
    <row r="14" spans="3:54" ht="52.2" x14ac:dyDescent="0.3">
      <c r="C14" s="87" t="s">
        <v>4</v>
      </c>
      <c r="D14" s="19" t="s">
        <v>269</v>
      </c>
      <c r="E14" s="19" t="s">
        <v>105</v>
      </c>
      <c r="F14" s="32" t="s">
        <v>6</v>
      </c>
      <c r="G14" s="19" t="s">
        <v>89</v>
      </c>
      <c r="H14" s="32" t="s">
        <v>265</v>
      </c>
      <c r="I14" s="77">
        <v>102464</v>
      </c>
      <c r="J14" s="12" t="s">
        <v>193</v>
      </c>
      <c r="K14" s="12" t="s">
        <v>193</v>
      </c>
      <c r="L14" s="12" t="s">
        <v>193</v>
      </c>
      <c r="M14" s="36">
        <v>45877</v>
      </c>
      <c r="N14" s="37">
        <v>45884</v>
      </c>
      <c r="O14" s="12"/>
      <c r="P14" s="12"/>
      <c r="Q14" s="12"/>
      <c r="R14" s="12" t="s">
        <v>193</v>
      </c>
      <c r="S14" s="12"/>
      <c r="T14" s="12" t="s">
        <v>194</v>
      </c>
      <c r="U14" s="12"/>
      <c r="V14" s="74"/>
      <c r="W14" s="12"/>
      <c r="X14" s="52"/>
      <c r="Y14" s="12"/>
      <c r="Z14" s="12"/>
      <c r="AA14" s="12"/>
      <c r="AB14" s="12"/>
      <c r="AC14" s="11"/>
      <c r="AD14" s="11"/>
      <c r="AE14" s="11"/>
      <c r="AF14" s="11"/>
      <c r="AG14" s="11"/>
      <c r="AH14" s="11"/>
      <c r="AI14" s="12" t="s">
        <v>194</v>
      </c>
      <c r="AJ14" s="12" t="s">
        <v>194</v>
      </c>
      <c r="AK14" s="12" t="s">
        <v>194</v>
      </c>
      <c r="AL14" s="12" t="s">
        <v>194</v>
      </c>
      <c r="AM14" s="12" t="s">
        <v>194</v>
      </c>
      <c r="AN14" s="11"/>
      <c r="AO14" s="12" t="s">
        <v>194</v>
      </c>
      <c r="AP14" s="12" t="s">
        <v>194</v>
      </c>
      <c r="AQ14" s="12" t="s">
        <v>194</v>
      </c>
      <c r="AR14" s="12" t="s">
        <v>194</v>
      </c>
      <c r="AS14" s="12"/>
      <c r="AT14" s="12"/>
      <c r="AU14" s="12"/>
      <c r="AV14" s="11"/>
      <c r="AW14" s="11"/>
      <c r="AX14" s="32" t="s">
        <v>15</v>
      </c>
      <c r="AY14" s="12"/>
    </row>
    <row r="15" spans="3:54" ht="52.2" x14ac:dyDescent="0.3">
      <c r="C15" s="88" t="s">
        <v>10</v>
      </c>
      <c r="D15" s="20" t="s">
        <v>123</v>
      </c>
      <c r="E15" s="25" t="s">
        <v>64</v>
      </c>
      <c r="F15" s="33" t="s">
        <v>6</v>
      </c>
      <c r="G15" s="20" t="s">
        <v>89</v>
      </c>
      <c r="H15" s="27" t="s">
        <v>265</v>
      </c>
      <c r="I15" s="77">
        <v>107733</v>
      </c>
      <c r="J15" s="12" t="s">
        <v>192</v>
      </c>
      <c r="K15" s="12" t="s">
        <v>192</v>
      </c>
      <c r="L15" s="12" t="s">
        <v>192</v>
      </c>
      <c r="M15" s="38">
        <v>45899</v>
      </c>
      <c r="N15" s="39">
        <v>45930</v>
      </c>
      <c r="O15" s="12"/>
      <c r="P15" s="12"/>
      <c r="Q15" s="12"/>
      <c r="R15" s="12" t="s">
        <v>192</v>
      </c>
      <c r="S15" s="12"/>
      <c r="T15" s="12" t="s">
        <v>194</v>
      </c>
      <c r="U15" s="12"/>
      <c r="V15" s="74"/>
      <c r="W15" s="12"/>
      <c r="X15" s="53" t="s">
        <v>328</v>
      </c>
      <c r="Y15" s="12"/>
      <c r="Z15" s="12"/>
      <c r="AA15" s="12"/>
      <c r="AB15" s="12"/>
      <c r="AC15" s="11"/>
      <c r="AD15" s="11"/>
      <c r="AE15" s="11"/>
      <c r="AF15" s="11"/>
      <c r="AG15" s="11"/>
      <c r="AH15" s="11"/>
      <c r="AI15" s="12" t="s">
        <v>194</v>
      </c>
      <c r="AJ15" s="12" t="s">
        <v>194</v>
      </c>
      <c r="AK15" s="12" t="s">
        <v>194</v>
      </c>
      <c r="AL15" s="12" t="s">
        <v>194</v>
      </c>
      <c r="AM15" s="12" t="s">
        <v>194</v>
      </c>
      <c r="AN15" s="11"/>
      <c r="AO15" s="12" t="s">
        <v>194</v>
      </c>
      <c r="AP15" s="12" t="s">
        <v>194</v>
      </c>
      <c r="AQ15" s="12" t="s">
        <v>194</v>
      </c>
      <c r="AR15" s="12" t="s">
        <v>194</v>
      </c>
      <c r="AS15" s="12"/>
      <c r="AT15" s="12"/>
      <c r="AU15" s="12"/>
      <c r="AV15" s="13"/>
      <c r="AW15" s="13"/>
      <c r="AX15" s="20" t="s">
        <v>273</v>
      </c>
      <c r="AY15" s="12"/>
    </row>
    <row r="16" spans="3:54" ht="69.599999999999994" x14ac:dyDescent="0.3">
      <c r="C16" s="88" t="s">
        <v>10</v>
      </c>
      <c r="D16" s="20" t="s">
        <v>123</v>
      </c>
      <c r="E16" s="26" t="s">
        <v>274</v>
      </c>
      <c r="F16" s="20" t="s">
        <v>100</v>
      </c>
      <c r="G16" s="20" t="s">
        <v>89</v>
      </c>
      <c r="H16" s="20" t="s">
        <v>275</v>
      </c>
      <c r="I16" s="77">
        <v>101525</v>
      </c>
      <c r="J16" s="12" t="s">
        <v>193</v>
      </c>
      <c r="K16" s="12" t="s">
        <v>193</v>
      </c>
      <c r="L16" s="12" t="s">
        <v>193</v>
      </c>
      <c r="M16" s="40">
        <v>45899</v>
      </c>
      <c r="N16" s="41">
        <v>45930</v>
      </c>
      <c r="O16" s="12"/>
      <c r="P16" s="12"/>
      <c r="Q16" s="12"/>
      <c r="R16" s="12" t="s">
        <v>193</v>
      </c>
      <c r="S16" s="12"/>
      <c r="T16" s="12" t="s">
        <v>192</v>
      </c>
      <c r="U16" s="12"/>
      <c r="V16" s="74"/>
      <c r="W16" s="12"/>
      <c r="X16" s="54" t="s">
        <v>276</v>
      </c>
      <c r="Y16" s="12"/>
      <c r="Z16" s="12"/>
      <c r="AA16" s="12"/>
      <c r="AB16" s="12"/>
      <c r="AC16" s="11" t="s">
        <v>266</v>
      </c>
      <c r="AD16" s="11"/>
      <c r="AE16" s="11"/>
      <c r="AF16" s="11"/>
      <c r="AG16" s="11"/>
      <c r="AH16" s="11"/>
      <c r="AI16" s="12" t="s">
        <v>194</v>
      </c>
      <c r="AJ16" s="12" t="s">
        <v>194</v>
      </c>
      <c r="AK16" s="12" t="s">
        <v>194</v>
      </c>
      <c r="AL16" s="12" t="s">
        <v>194</v>
      </c>
      <c r="AM16" s="12" t="s">
        <v>194</v>
      </c>
      <c r="AN16" s="11"/>
      <c r="AO16" s="12"/>
      <c r="AP16" s="12"/>
      <c r="AQ16" s="12"/>
      <c r="AR16" s="12" t="s">
        <v>194</v>
      </c>
      <c r="AS16" s="12"/>
      <c r="AT16" s="12"/>
      <c r="AU16" s="12"/>
      <c r="AV16" s="13"/>
      <c r="AW16" s="13"/>
      <c r="AX16" s="32" t="s">
        <v>15</v>
      </c>
      <c r="AY16" s="12"/>
    </row>
    <row r="17" spans="3:51" ht="52.2" x14ac:dyDescent="0.3">
      <c r="C17" s="88" t="s">
        <v>10</v>
      </c>
      <c r="D17" s="20" t="s">
        <v>123</v>
      </c>
      <c r="E17" s="26" t="s">
        <v>277</v>
      </c>
      <c r="F17" s="20" t="s">
        <v>100</v>
      </c>
      <c r="G17" s="20" t="s">
        <v>89</v>
      </c>
      <c r="H17" s="20" t="s">
        <v>275</v>
      </c>
      <c r="I17" s="77">
        <v>111116</v>
      </c>
      <c r="J17" s="12" t="s">
        <v>193</v>
      </c>
      <c r="K17" s="12" t="s">
        <v>193</v>
      </c>
      <c r="L17" s="12" t="s">
        <v>193</v>
      </c>
      <c r="M17" s="40">
        <v>45899</v>
      </c>
      <c r="N17" s="41">
        <v>45930</v>
      </c>
      <c r="O17" s="12"/>
      <c r="P17" s="12"/>
      <c r="Q17" s="12"/>
      <c r="R17" s="12" t="s">
        <v>193</v>
      </c>
      <c r="S17" s="12"/>
      <c r="T17" s="12" t="s">
        <v>192</v>
      </c>
      <c r="U17" s="12"/>
      <c r="V17" s="74"/>
      <c r="W17" s="12"/>
      <c r="X17" s="55" t="s">
        <v>329</v>
      </c>
      <c r="Y17" s="12"/>
      <c r="Z17" s="12"/>
      <c r="AA17" s="12"/>
      <c r="AB17" s="12"/>
      <c r="AC17" s="11" t="s">
        <v>266</v>
      </c>
      <c r="AD17" s="11"/>
      <c r="AE17" s="11"/>
      <c r="AF17" s="11"/>
      <c r="AG17" s="11"/>
      <c r="AH17" s="11"/>
      <c r="AI17" s="12"/>
      <c r="AJ17" s="12"/>
      <c r="AK17" s="12"/>
      <c r="AL17" s="12"/>
      <c r="AM17" s="12"/>
      <c r="AN17" s="11"/>
      <c r="AO17" s="12"/>
      <c r="AP17" s="12"/>
      <c r="AQ17" s="12"/>
      <c r="AR17" s="12" t="s">
        <v>194</v>
      </c>
      <c r="AS17" s="12"/>
      <c r="AT17" s="12"/>
      <c r="AU17" s="12"/>
      <c r="AV17" s="13"/>
      <c r="AW17" s="13"/>
      <c r="AX17" s="32" t="s">
        <v>15</v>
      </c>
      <c r="AY17" s="12"/>
    </row>
    <row r="18" spans="3:51" ht="52.2" x14ac:dyDescent="0.3">
      <c r="C18" s="88" t="s">
        <v>10</v>
      </c>
      <c r="D18" s="20" t="s">
        <v>278</v>
      </c>
      <c r="E18" s="20" t="s">
        <v>279</v>
      </c>
      <c r="F18" s="20" t="s">
        <v>88</v>
      </c>
      <c r="G18" s="20" t="s">
        <v>101</v>
      </c>
      <c r="H18" s="20" t="s">
        <v>262</v>
      </c>
      <c r="I18" s="77">
        <v>101388</v>
      </c>
      <c r="J18" s="12" t="s">
        <v>193</v>
      </c>
      <c r="K18" s="12" t="s">
        <v>193</v>
      </c>
      <c r="L18" s="12" t="s">
        <v>193</v>
      </c>
      <c r="M18" s="40">
        <v>45899</v>
      </c>
      <c r="N18" s="41">
        <v>45930</v>
      </c>
      <c r="O18" s="12"/>
      <c r="P18" s="12" t="s">
        <v>270</v>
      </c>
      <c r="Q18" s="12" t="s">
        <v>193</v>
      </c>
      <c r="R18" s="12" t="s">
        <v>193</v>
      </c>
      <c r="S18" s="12"/>
      <c r="T18" s="12" t="s">
        <v>192</v>
      </c>
      <c r="U18" s="12"/>
      <c r="V18" s="74"/>
      <c r="W18" s="12"/>
      <c r="X18" s="55"/>
      <c r="Y18" s="12"/>
      <c r="Z18" s="12"/>
      <c r="AA18" s="12"/>
      <c r="AB18" s="12"/>
      <c r="AC18" s="11">
        <v>1</v>
      </c>
      <c r="AD18" s="11">
        <v>0</v>
      </c>
      <c r="AE18" s="11">
        <v>1</v>
      </c>
      <c r="AF18" s="11"/>
      <c r="AG18" s="11"/>
      <c r="AH18" s="68">
        <v>0.25</v>
      </c>
      <c r="AI18" s="12" t="s">
        <v>194</v>
      </c>
      <c r="AJ18" s="12" t="s">
        <v>194</v>
      </c>
      <c r="AK18" s="12" t="s">
        <v>194</v>
      </c>
      <c r="AL18" s="12" t="s">
        <v>194</v>
      </c>
      <c r="AM18" s="12" t="s">
        <v>194</v>
      </c>
      <c r="AN18" s="11">
        <v>0</v>
      </c>
      <c r="AO18" s="12" t="s">
        <v>194</v>
      </c>
      <c r="AP18" s="12" t="s">
        <v>194</v>
      </c>
      <c r="AQ18" s="12" t="s">
        <v>194</v>
      </c>
      <c r="AR18" s="12" t="s">
        <v>194</v>
      </c>
      <c r="AS18" s="12"/>
      <c r="AT18" s="12"/>
      <c r="AU18" s="12"/>
      <c r="AV18" s="13"/>
      <c r="AW18" s="13"/>
      <c r="AX18" s="32" t="s">
        <v>15</v>
      </c>
      <c r="AY18" s="12"/>
    </row>
    <row r="19" spans="3:51" ht="52.2" x14ac:dyDescent="0.3">
      <c r="C19" s="88" t="s">
        <v>10</v>
      </c>
      <c r="D19" s="20" t="s">
        <v>123</v>
      </c>
      <c r="E19" s="25" t="s">
        <v>64</v>
      </c>
      <c r="F19" s="20" t="s">
        <v>100</v>
      </c>
      <c r="G19" s="20" t="s">
        <v>89</v>
      </c>
      <c r="H19" s="27" t="s">
        <v>275</v>
      </c>
      <c r="I19" s="77">
        <v>54534</v>
      </c>
      <c r="J19" s="12" t="s">
        <v>193</v>
      </c>
      <c r="K19" s="12" t="s">
        <v>193</v>
      </c>
      <c r="L19" s="12" t="s">
        <v>193</v>
      </c>
      <c r="M19" s="38">
        <v>45899</v>
      </c>
      <c r="N19" s="39">
        <v>45930</v>
      </c>
      <c r="O19" s="12"/>
      <c r="P19" s="12"/>
      <c r="Q19" s="12"/>
      <c r="R19" s="12" t="s">
        <v>193</v>
      </c>
      <c r="S19" s="12"/>
      <c r="T19" s="12" t="s">
        <v>192</v>
      </c>
      <c r="U19" s="12"/>
      <c r="V19" s="74"/>
      <c r="W19" s="12"/>
      <c r="X19" s="53" t="s">
        <v>329</v>
      </c>
      <c r="Y19" s="12"/>
      <c r="Z19" s="12"/>
      <c r="AA19" s="12"/>
      <c r="AB19" s="12"/>
      <c r="AC19" s="11" t="s">
        <v>266</v>
      </c>
      <c r="AD19" s="11"/>
      <c r="AE19" s="11"/>
      <c r="AF19" s="11"/>
      <c r="AG19" s="11"/>
      <c r="AH19" s="11"/>
      <c r="AI19" s="12" t="s">
        <v>194</v>
      </c>
      <c r="AJ19" s="12" t="s">
        <v>194</v>
      </c>
      <c r="AK19" s="12" t="s">
        <v>194</v>
      </c>
      <c r="AL19" s="12" t="s">
        <v>194</v>
      </c>
      <c r="AM19" s="12" t="s">
        <v>194</v>
      </c>
      <c r="AN19" s="11">
        <v>0</v>
      </c>
      <c r="AO19" s="12"/>
      <c r="AP19" s="12"/>
      <c r="AQ19" s="12"/>
      <c r="AR19" s="12" t="s">
        <v>194</v>
      </c>
      <c r="AS19" s="12"/>
      <c r="AT19" s="12"/>
      <c r="AU19" s="12"/>
      <c r="AV19" s="13"/>
      <c r="AW19" s="13"/>
      <c r="AX19" s="32" t="s">
        <v>15</v>
      </c>
      <c r="AY19" s="12"/>
    </row>
    <row r="20" spans="3:51" ht="69.599999999999994" x14ac:dyDescent="0.3">
      <c r="C20" s="88" t="s">
        <v>10</v>
      </c>
      <c r="D20" s="20" t="s">
        <v>280</v>
      </c>
      <c r="E20" s="24" t="s">
        <v>281</v>
      </c>
      <c r="F20" s="20" t="s">
        <v>100</v>
      </c>
      <c r="G20" s="20" t="s">
        <v>89</v>
      </c>
      <c r="H20" s="24" t="s">
        <v>265</v>
      </c>
      <c r="I20" s="77">
        <v>102743</v>
      </c>
      <c r="J20" s="12" t="s">
        <v>193</v>
      </c>
      <c r="K20" s="12" t="s">
        <v>193</v>
      </c>
      <c r="L20" s="12" t="s">
        <v>193</v>
      </c>
      <c r="M20" s="42">
        <v>45899</v>
      </c>
      <c r="N20" s="42" t="s">
        <v>282</v>
      </c>
      <c r="O20" s="12"/>
      <c r="P20" s="12"/>
      <c r="Q20" s="12"/>
      <c r="R20" s="12" t="s">
        <v>193</v>
      </c>
      <c r="S20" s="12"/>
      <c r="T20" s="12" t="s">
        <v>192</v>
      </c>
      <c r="U20" s="12"/>
      <c r="V20" s="74"/>
      <c r="W20" s="12"/>
      <c r="X20" s="56" t="s">
        <v>329</v>
      </c>
      <c r="Y20" s="12"/>
      <c r="Z20" s="12"/>
      <c r="AA20" s="12"/>
      <c r="AB20" s="12"/>
      <c r="AC20" s="11" t="s">
        <v>266</v>
      </c>
      <c r="AD20" s="11"/>
      <c r="AE20" s="11"/>
      <c r="AF20" s="11"/>
      <c r="AG20" s="11"/>
      <c r="AH20" s="11"/>
      <c r="AI20" s="12" t="s">
        <v>194</v>
      </c>
      <c r="AJ20" s="12" t="s">
        <v>194</v>
      </c>
      <c r="AK20" s="12" t="s">
        <v>194</v>
      </c>
      <c r="AL20" s="12" t="s">
        <v>194</v>
      </c>
      <c r="AM20" s="12" t="s">
        <v>194</v>
      </c>
      <c r="AN20" s="11">
        <v>0</v>
      </c>
      <c r="AO20" s="12"/>
      <c r="AP20" s="12"/>
      <c r="AQ20" s="12"/>
      <c r="AR20" s="12" t="s">
        <v>194</v>
      </c>
      <c r="AS20" s="12"/>
      <c r="AT20" s="12"/>
      <c r="AU20" s="12"/>
      <c r="AV20" s="13"/>
      <c r="AW20" s="13"/>
      <c r="AX20" s="32" t="s">
        <v>15</v>
      </c>
      <c r="AY20" s="12"/>
    </row>
    <row r="21" spans="3:51" ht="52.2" x14ac:dyDescent="0.3">
      <c r="C21" s="88" t="s">
        <v>10</v>
      </c>
      <c r="D21" s="20" t="s">
        <v>278</v>
      </c>
      <c r="E21" s="20" t="s">
        <v>283</v>
      </c>
      <c r="F21" s="20" t="s">
        <v>100</v>
      </c>
      <c r="G21" s="20" t="s">
        <v>89</v>
      </c>
      <c r="H21" s="20" t="s">
        <v>275</v>
      </c>
      <c r="I21" s="77">
        <v>10561</v>
      </c>
      <c r="J21" s="12" t="s">
        <v>193</v>
      </c>
      <c r="K21" s="12" t="s">
        <v>193</v>
      </c>
      <c r="L21" s="12" t="s">
        <v>193</v>
      </c>
      <c r="M21" s="40">
        <v>45930</v>
      </c>
      <c r="N21" s="41">
        <v>45960</v>
      </c>
      <c r="O21" s="12"/>
      <c r="P21" s="12"/>
      <c r="Q21" s="12"/>
      <c r="R21" s="12" t="s">
        <v>193</v>
      </c>
      <c r="S21" s="12"/>
      <c r="T21" s="12" t="s">
        <v>192</v>
      </c>
      <c r="U21" s="12"/>
      <c r="V21" s="74"/>
      <c r="W21" s="12"/>
      <c r="X21" s="55" t="s">
        <v>329</v>
      </c>
      <c r="Y21" s="12"/>
      <c r="Z21" s="12"/>
      <c r="AA21" s="12"/>
      <c r="AB21" s="12"/>
      <c r="AC21" s="11" t="s">
        <v>266</v>
      </c>
      <c r="AD21" s="11"/>
      <c r="AE21" s="11"/>
      <c r="AF21" s="11"/>
      <c r="AG21" s="11"/>
      <c r="AH21" s="11"/>
      <c r="AI21" s="12" t="s">
        <v>194</v>
      </c>
      <c r="AJ21" s="12" t="s">
        <v>194</v>
      </c>
      <c r="AK21" s="12" t="s">
        <v>194</v>
      </c>
      <c r="AL21" s="12" t="s">
        <v>194</v>
      </c>
      <c r="AM21" s="12" t="s">
        <v>194</v>
      </c>
      <c r="AN21" s="11">
        <v>0</v>
      </c>
      <c r="AO21" s="12"/>
      <c r="AP21" s="12"/>
      <c r="AQ21" s="12"/>
      <c r="AR21" s="12" t="s">
        <v>194</v>
      </c>
      <c r="AS21" s="12"/>
      <c r="AT21" s="12"/>
      <c r="AU21" s="12"/>
      <c r="AV21" s="11"/>
      <c r="AW21" s="11"/>
      <c r="AX21" s="32" t="s">
        <v>15</v>
      </c>
      <c r="AY21" s="12"/>
    </row>
    <row r="22" spans="3:51" ht="52.2" x14ac:dyDescent="0.3">
      <c r="C22" s="88" t="s">
        <v>10</v>
      </c>
      <c r="D22" s="20" t="s">
        <v>278</v>
      </c>
      <c r="E22" s="20" t="s">
        <v>283</v>
      </c>
      <c r="F22" s="20" t="s">
        <v>100</v>
      </c>
      <c r="G22" s="20" t="s">
        <v>89</v>
      </c>
      <c r="H22" s="20" t="s">
        <v>265</v>
      </c>
      <c r="I22" s="77">
        <v>102473</v>
      </c>
      <c r="J22" s="12" t="s">
        <v>193</v>
      </c>
      <c r="K22" s="12" t="s">
        <v>193</v>
      </c>
      <c r="L22" s="12" t="s">
        <v>193</v>
      </c>
      <c r="M22" s="40">
        <v>45930</v>
      </c>
      <c r="N22" s="41">
        <v>45960</v>
      </c>
      <c r="O22" s="12"/>
      <c r="P22" s="12"/>
      <c r="Q22" s="12"/>
      <c r="R22" s="12" t="s">
        <v>193</v>
      </c>
      <c r="S22" s="12"/>
      <c r="T22" s="12" t="s">
        <v>192</v>
      </c>
      <c r="U22" s="12"/>
      <c r="V22" s="74"/>
      <c r="W22" s="12"/>
      <c r="X22" s="55"/>
      <c r="Y22" s="12"/>
      <c r="Z22" s="12"/>
      <c r="AA22" s="12"/>
      <c r="AB22" s="12"/>
      <c r="AC22" s="11" t="s">
        <v>266</v>
      </c>
      <c r="AD22" s="11"/>
      <c r="AE22" s="11"/>
      <c r="AF22" s="11"/>
      <c r="AG22" s="11"/>
      <c r="AH22" s="11"/>
      <c r="AI22" s="12" t="s">
        <v>194</v>
      </c>
      <c r="AJ22" s="12" t="s">
        <v>194</v>
      </c>
      <c r="AK22" s="12" t="s">
        <v>194</v>
      </c>
      <c r="AL22" s="12" t="s">
        <v>194</v>
      </c>
      <c r="AM22" s="12" t="s">
        <v>194</v>
      </c>
      <c r="AN22" s="11">
        <v>0</v>
      </c>
      <c r="AO22" s="12"/>
      <c r="AP22" s="12"/>
      <c r="AQ22" s="12"/>
      <c r="AR22" s="12" t="s">
        <v>194</v>
      </c>
      <c r="AS22" s="12"/>
      <c r="AT22" s="12"/>
      <c r="AU22" s="12"/>
      <c r="AV22" s="11"/>
      <c r="AW22" s="11"/>
      <c r="AX22" s="32" t="s">
        <v>15</v>
      </c>
      <c r="AY22" s="12"/>
    </row>
    <row r="23" spans="3:51" ht="69.599999999999994" x14ac:dyDescent="0.3">
      <c r="C23" s="88" t="s">
        <v>10</v>
      </c>
      <c r="D23" s="20" t="s">
        <v>278</v>
      </c>
      <c r="E23" s="20" t="s">
        <v>283</v>
      </c>
      <c r="F23" s="20" t="s">
        <v>88</v>
      </c>
      <c r="G23" s="20" t="s">
        <v>89</v>
      </c>
      <c r="H23" s="20" t="s">
        <v>262</v>
      </c>
      <c r="I23" s="77">
        <v>101389</v>
      </c>
      <c r="J23" s="12" t="s">
        <v>193</v>
      </c>
      <c r="K23" s="12" t="s">
        <v>193</v>
      </c>
      <c r="L23" s="12" t="s">
        <v>193</v>
      </c>
      <c r="M23" s="40">
        <v>45930</v>
      </c>
      <c r="N23" s="41">
        <v>45960</v>
      </c>
      <c r="O23" s="12"/>
      <c r="P23" s="12" t="s">
        <v>270</v>
      </c>
      <c r="Q23" s="12" t="s">
        <v>193</v>
      </c>
      <c r="R23" s="12" t="s">
        <v>193</v>
      </c>
      <c r="S23" s="12"/>
      <c r="T23" s="12" t="s">
        <v>192</v>
      </c>
      <c r="U23" s="12"/>
      <c r="V23" s="74"/>
      <c r="W23" s="12"/>
      <c r="X23" s="54" t="s">
        <v>276</v>
      </c>
      <c r="Y23" s="12"/>
      <c r="Z23" s="12"/>
      <c r="AA23" s="12"/>
      <c r="AB23" s="12"/>
      <c r="AC23" s="11">
        <v>5</v>
      </c>
      <c r="AD23" s="11">
        <v>3</v>
      </c>
      <c r="AE23" s="11">
        <v>8</v>
      </c>
      <c r="AF23" s="11"/>
      <c r="AG23" s="11"/>
      <c r="AH23" s="70" t="s">
        <v>330</v>
      </c>
      <c r="AI23" s="12" t="s">
        <v>194</v>
      </c>
      <c r="AJ23" s="12" t="s">
        <v>194</v>
      </c>
      <c r="AK23" s="12" t="s">
        <v>194</v>
      </c>
      <c r="AL23" s="12" t="s">
        <v>194</v>
      </c>
      <c r="AM23" s="12" t="s">
        <v>194</v>
      </c>
      <c r="AN23" s="11">
        <v>0</v>
      </c>
      <c r="AO23" s="12" t="s">
        <v>194</v>
      </c>
      <c r="AP23" s="12" t="s">
        <v>194</v>
      </c>
      <c r="AQ23" s="12" t="s">
        <v>194</v>
      </c>
      <c r="AR23" s="12" t="s">
        <v>194</v>
      </c>
      <c r="AS23" s="12"/>
      <c r="AT23" s="12"/>
      <c r="AU23" s="12"/>
      <c r="AV23" s="11"/>
      <c r="AW23" s="11"/>
      <c r="AX23" s="34" t="s">
        <v>16</v>
      </c>
      <c r="AY23" s="12"/>
    </row>
    <row r="24" spans="3:51" ht="52.2" x14ac:dyDescent="0.3">
      <c r="C24" s="88" t="s">
        <v>10</v>
      </c>
      <c r="D24" s="20" t="s">
        <v>284</v>
      </c>
      <c r="E24" s="24" t="s">
        <v>285</v>
      </c>
      <c r="F24" s="20" t="s">
        <v>6</v>
      </c>
      <c r="G24" s="20" t="s">
        <v>89</v>
      </c>
      <c r="H24" s="24" t="s">
        <v>275</v>
      </c>
      <c r="I24" s="77">
        <v>4078</v>
      </c>
      <c r="J24" s="12" t="s">
        <v>193</v>
      </c>
      <c r="K24" s="12" t="s">
        <v>193</v>
      </c>
      <c r="L24" s="12" t="s">
        <v>193</v>
      </c>
      <c r="M24" s="42">
        <v>45930</v>
      </c>
      <c r="N24" s="43">
        <v>45960</v>
      </c>
      <c r="O24" s="12"/>
      <c r="P24" s="12"/>
      <c r="Q24" s="12"/>
      <c r="R24" s="12" t="s">
        <v>193</v>
      </c>
      <c r="S24" s="12"/>
      <c r="T24" s="12" t="s">
        <v>194</v>
      </c>
      <c r="U24" s="12"/>
      <c r="V24" s="74"/>
      <c r="W24" s="12"/>
      <c r="X24" s="57" t="s">
        <v>329</v>
      </c>
      <c r="Y24" s="12"/>
      <c r="Z24" s="12"/>
      <c r="AA24" s="12"/>
      <c r="AB24" s="12"/>
      <c r="AC24" s="11"/>
      <c r="AD24" s="11"/>
      <c r="AE24" s="11"/>
      <c r="AF24" s="11"/>
      <c r="AG24" s="11"/>
      <c r="AH24" s="11"/>
      <c r="AI24" s="12"/>
      <c r="AJ24" s="12"/>
      <c r="AK24" s="12"/>
      <c r="AL24" s="12"/>
      <c r="AM24" s="12"/>
      <c r="AN24" s="11"/>
      <c r="AO24" s="12" t="s">
        <v>194</v>
      </c>
      <c r="AP24" s="12" t="s">
        <v>194</v>
      </c>
      <c r="AQ24" s="12" t="s">
        <v>194</v>
      </c>
      <c r="AR24" s="12" t="s">
        <v>194</v>
      </c>
      <c r="AS24" s="12"/>
      <c r="AT24" s="12"/>
      <c r="AU24" s="12"/>
      <c r="AV24" s="11"/>
      <c r="AW24" s="11"/>
      <c r="AX24" s="32" t="s">
        <v>15</v>
      </c>
      <c r="AY24" s="12"/>
    </row>
    <row r="25" spans="3:51" ht="69.599999999999994" x14ac:dyDescent="0.3">
      <c r="C25" s="88" t="s">
        <v>10</v>
      </c>
      <c r="D25" s="20" t="s">
        <v>280</v>
      </c>
      <c r="E25" s="20" t="s">
        <v>286</v>
      </c>
      <c r="F25" s="20" t="s">
        <v>100</v>
      </c>
      <c r="G25" s="20" t="s">
        <v>89</v>
      </c>
      <c r="H25" s="20" t="s">
        <v>275</v>
      </c>
      <c r="I25" s="77">
        <v>53835</v>
      </c>
      <c r="J25" s="12" t="s">
        <v>193</v>
      </c>
      <c r="K25" s="12" t="s">
        <v>193</v>
      </c>
      <c r="L25" s="12" t="s">
        <v>193</v>
      </c>
      <c r="M25" s="40">
        <v>45930</v>
      </c>
      <c r="N25" s="41">
        <v>45960</v>
      </c>
      <c r="O25" s="12"/>
      <c r="P25" s="12"/>
      <c r="Q25" s="12"/>
      <c r="R25" s="12" t="s">
        <v>193</v>
      </c>
      <c r="S25" s="12"/>
      <c r="T25" s="12" t="s">
        <v>194</v>
      </c>
      <c r="U25" s="12"/>
      <c r="V25" s="74"/>
      <c r="W25" s="12"/>
      <c r="X25" s="55" t="s">
        <v>329</v>
      </c>
      <c r="Y25" s="12"/>
      <c r="Z25" s="12"/>
      <c r="AA25" s="12"/>
      <c r="AB25" s="12"/>
      <c r="AC25" s="11" t="s">
        <v>266</v>
      </c>
      <c r="AD25" s="11"/>
      <c r="AE25" s="11"/>
      <c r="AF25" s="11"/>
      <c r="AG25" s="11"/>
      <c r="AH25" s="11"/>
      <c r="AI25" s="12" t="s">
        <v>194</v>
      </c>
      <c r="AJ25" s="12" t="s">
        <v>194</v>
      </c>
      <c r="AK25" s="12" t="s">
        <v>194</v>
      </c>
      <c r="AL25" s="12" t="s">
        <v>194</v>
      </c>
      <c r="AM25" s="12" t="s">
        <v>194</v>
      </c>
      <c r="AN25" s="11">
        <v>0</v>
      </c>
      <c r="AO25" s="12"/>
      <c r="AP25" s="12"/>
      <c r="AQ25" s="12"/>
      <c r="AR25" s="12" t="s">
        <v>194</v>
      </c>
      <c r="AS25" s="12"/>
      <c r="AT25" s="12"/>
      <c r="AU25" s="12"/>
      <c r="AV25" s="11"/>
      <c r="AW25" s="11"/>
      <c r="AX25" s="32" t="s">
        <v>15</v>
      </c>
      <c r="AY25" s="12"/>
    </row>
    <row r="26" spans="3:51" ht="52.2" x14ac:dyDescent="0.3">
      <c r="C26" s="89" t="s">
        <v>7</v>
      </c>
      <c r="D26" s="21" t="s">
        <v>287</v>
      </c>
      <c r="E26" s="21" t="s">
        <v>288</v>
      </c>
      <c r="F26" s="21" t="s">
        <v>6</v>
      </c>
      <c r="G26" s="21" t="s">
        <v>89</v>
      </c>
      <c r="H26" s="21" t="s">
        <v>265</v>
      </c>
      <c r="I26" s="77">
        <v>105309</v>
      </c>
      <c r="J26" s="12" t="s">
        <v>193</v>
      </c>
      <c r="K26" s="12" t="s">
        <v>193</v>
      </c>
      <c r="L26" s="12" t="s">
        <v>193</v>
      </c>
      <c r="M26" s="44">
        <v>45930</v>
      </c>
      <c r="N26" s="45">
        <v>45960</v>
      </c>
      <c r="O26" s="12"/>
      <c r="P26" s="12"/>
      <c r="Q26" s="12"/>
      <c r="R26" s="12" t="s">
        <v>193</v>
      </c>
      <c r="S26" s="12"/>
      <c r="T26" s="12" t="s">
        <v>194</v>
      </c>
      <c r="U26" s="12"/>
      <c r="V26" s="74"/>
      <c r="W26" s="12"/>
      <c r="X26" s="58" t="s">
        <v>329</v>
      </c>
      <c r="Y26" s="12"/>
      <c r="Z26" s="12"/>
      <c r="AA26" s="12"/>
      <c r="AB26" s="12"/>
      <c r="AC26" s="11"/>
      <c r="AD26" s="11"/>
      <c r="AE26" s="11"/>
      <c r="AF26" s="11"/>
      <c r="AG26" s="11"/>
      <c r="AH26" s="11"/>
      <c r="AI26" s="12" t="s">
        <v>194</v>
      </c>
      <c r="AJ26" s="12" t="s">
        <v>194</v>
      </c>
      <c r="AK26" s="12" t="s">
        <v>194</v>
      </c>
      <c r="AL26" s="12" t="s">
        <v>194</v>
      </c>
      <c r="AM26" s="12" t="s">
        <v>194</v>
      </c>
      <c r="AN26" s="68">
        <v>0</v>
      </c>
      <c r="AO26" s="12" t="s">
        <v>194</v>
      </c>
      <c r="AP26" s="12" t="s">
        <v>194</v>
      </c>
      <c r="AQ26" s="12" t="s">
        <v>194</v>
      </c>
      <c r="AR26" s="12" t="s">
        <v>194</v>
      </c>
      <c r="AS26" s="12"/>
      <c r="AT26" s="12"/>
      <c r="AU26" s="12"/>
      <c r="AV26" s="11"/>
      <c r="AW26" s="11"/>
      <c r="AX26" s="32" t="s">
        <v>15</v>
      </c>
      <c r="AY26" s="12"/>
    </row>
    <row r="27" spans="3:51" ht="52.2" x14ac:dyDescent="0.3">
      <c r="C27" s="89" t="s">
        <v>7</v>
      </c>
      <c r="D27" s="21" t="s">
        <v>289</v>
      </c>
      <c r="E27" s="21" t="s">
        <v>290</v>
      </c>
      <c r="F27" s="21" t="s">
        <v>100</v>
      </c>
      <c r="G27" s="21" t="s">
        <v>89</v>
      </c>
      <c r="H27" s="21" t="s">
        <v>275</v>
      </c>
      <c r="I27" s="77">
        <v>7470</v>
      </c>
      <c r="J27" s="12" t="s">
        <v>193</v>
      </c>
      <c r="K27" s="12" t="s">
        <v>193</v>
      </c>
      <c r="L27" s="12" t="s">
        <v>193</v>
      </c>
      <c r="M27" s="44">
        <v>45930</v>
      </c>
      <c r="N27" s="45">
        <v>45960</v>
      </c>
      <c r="O27" s="12"/>
      <c r="P27" s="12"/>
      <c r="Q27" s="12"/>
      <c r="R27" s="12" t="s">
        <v>193</v>
      </c>
      <c r="S27" s="12"/>
      <c r="T27" s="12" t="s">
        <v>194</v>
      </c>
      <c r="U27" s="12"/>
      <c r="V27" s="74"/>
      <c r="W27" s="12"/>
      <c r="X27" s="58" t="s">
        <v>329</v>
      </c>
      <c r="Y27" s="12"/>
      <c r="Z27" s="12"/>
      <c r="AA27" s="12"/>
      <c r="AB27" s="12"/>
      <c r="AC27" s="11" t="s">
        <v>266</v>
      </c>
      <c r="AD27" s="11"/>
      <c r="AE27" s="11"/>
      <c r="AF27" s="11"/>
      <c r="AG27" s="11"/>
      <c r="AH27" s="11"/>
      <c r="AI27" s="12" t="s">
        <v>194</v>
      </c>
      <c r="AJ27" s="12" t="s">
        <v>194</v>
      </c>
      <c r="AK27" s="12" t="s">
        <v>194</v>
      </c>
      <c r="AL27" s="12" t="s">
        <v>194</v>
      </c>
      <c r="AM27" s="12" t="s">
        <v>194</v>
      </c>
      <c r="AN27" s="11">
        <v>0</v>
      </c>
      <c r="AO27" s="12"/>
      <c r="AP27" s="12"/>
      <c r="AQ27" s="12"/>
      <c r="AR27" s="12" t="s">
        <v>194</v>
      </c>
      <c r="AS27" s="12"/>
      <c r="AT27" s="12"/>
      <c r="AU27" s="12"/>
      <c r="AV27" s="11"/>
      <c r="AW27" s="11"/>
      <c r="AX27" s="32" t="s">
        <v>15</v>
      </c>
      <c r="AY27" s="12"/>
    </row>
    <row r="28" spans="3:51" ht="52.2" x14ac:dyDescent="0.3">
      <c r="C28" s="89" t="s">
        <v>7</v>
      </c>
      <c r="D28" s="21" t="s">
        <v>289</v>
      </c>
      <c r="E28" s="21" t="s">
        <v>290</v>
      </c>
      <c r="F28" s="21" t="s">
        <v>88</v>
      </c>
      <c r="G28" s="21" t="s">
        <v>89</v>
      </c>
      <c r="H28" s="21" t="s">
        <v>262</v>
      </c>
      <c r="I28" s="77">
        <v>101492</v>
      </c>
      <c r="J28" s="12" t="s">
        <v>193</v>
      </c>
      <c r="K28" s="12" t="s">
        <v>193</v>
      </c>
      <c r="L28" s="12" t="s">
        <v>193</v>
      </c>
      <c r="M28" s="44">
        <v>45930</v>
      </c>
      <c r="N28" s="45">
        <v>45960</v>
      </c>
      <c r="O28" s="12"/>
      <c r="P28" s="12" t="s">
        <v>270</v>
      </c>
      <c r="Q28" s="12" t="s">
        <v>193</v>
      </c>
      <c r="R28" s="12" t="s">
        <v>193</v>
      </c>
      <c r="S28" s="12"/>
      <c r="T28" s="12" t="s">
        <v>193</v>
      </c>
      <c r="U28" s="12"/>
      <c r="V28" s="74"/>
      <c r="W28" s="12"/>
      <c r="X28" s="58"/>
      <c r="Y28" s="12"/>
      <c r="Z28" s="12"/>
      <c r="AA28" s="12"/>
      <c r="AB28" s="12"/>
      <c r="AC28" s="11">
        <v>5</v>
      </c>
      <c r="AD28" s="11">
        <v>0</v>
      </c>
      <c r="AE28" s="11">
        <v>5</v>
      </c>
      <c r="AF28" s="11"/>
      <c r="AG28" s="11"/>
      <c r="AH28" s="68">
        <v>0.1</v>
      </c>
      <c r="AI28" s="12" t="s">
        <v>194</v>
      </c>
      <c r="AJ28" s="12" t="s">
        <v>194</v>
      </c>
      <c r="AK28" s="12" t="s">
        <v>194</v>
      </c>
      <c r="AL28" s="12" t="s">
        <v>194</v>
      </c>
      <c r="AM28" s="12" t="s">
        <v>194</v>
      </c>
      <c r="AN28" s="11">
        <v>0</v>
      </c>
      <c r="AO28" s="12" t="s">
        <v>194</v>
      </c>
      <c r="AP28" s="12" t="s">
        <v>194</v>
      </c>
      <c r="AQ28" s="12" t="s">
        <v>194</v>
      </c>
      <c r="AR28" s="12" t="s">
        <v>194</v>
      </c>
      <c r="AS28" s="12"/>
      <c r="AT28" s="12"/>
      <c r="AU28" s="12"/>
      <c r="AV28" s="11"/>
      <c r="AW28" s="11"/>
      <c r="AX28" s="32" t="s">
        <v>15</v>
      </c>
      <c r="AY28" s="12"/>
    </row>
    <row r="29" spans="3:51" ht="69.599999999999994" x14ac:dyDescent="0.3">
      <c r="C29" s="88" t="s">
        <v>10</v>
      </c>
      <c r="D29" s="20" t="s">
        <v>280</v>
      </c>
      <c r="E29" s="27" t="s">
        <v>124</v>
      </c>
      <c r="F29" s="20" t="s">
        <v>88</v>
      </c>
      <c r="G29" s="20" t="s">
        <v>89</v>
      </c>
      <c r="H29" s="27" t="s">
        <v>262</v>
      </c>
      <c r="I29" s="77">
        <v>105591</v>
      </c>
      <c r="J29" s="12" t="s">
        <v>193</v>
      </c>
      <c r="K29" s="12" t="s">
        <v>193</v>
      </c>
      <c r="L29" s="12" t="s">
        <v>193</v>
      </c>
      <c r="M29" s="38">
        <v>45930</v>
      </c>
      <c r="N29" s="39">
        <v>45960</v>
      </c>
      <c r="O29" s="12"/>
      <c r="P29" s="12" t="s">
        <v>270</v>
      </c>
      <c r="Q29" s="12" t="s">
        <v>193</v>
      </c>
      <c r="R29" s="12" t="s">
        <v>193</v>
      </c>
      <c r="S29" s="12"/>
      <c r="T29" s="12" t="s">
        <v>192</v>
      </c>
      <c r="U29" s="12"/>
      <c r="V29" s="74"/>
      <c r="W29" s="12"/>
      <c r="X29" s="59" t="s">
        <v>327</v>
      </c>
      <c r="Y29" s="12"/>
      <c r="Z29" s="12"/>
      <c r="AA29" s="12"/>
      <c r="AB29" s="12"/>
      <c r="AC29" s="11">
        <v>7</v>
      </c>
      <c r="AD29" s="11">
        <v>2</v>
      </c>
      <c r="AE29" s="11">
        <v>9</v>
      </c>
      <c r="AF29" s="11"/>
      <c r="AG29" s="11"/>
      <c r="AH29" s="68">
        <v>0.11</v>
      </c>
      <c r="AI29" s="12" t="s">
        <v>194</v>
      </c>
      <c r="AJ29" s="12" t="s">
        <v>194</v>
      </c>
      <c r="AK29" s="12" t="s">
        <v>194</v>
      </c>
      <c r="AL29" s="12" t="s">
        <v>194</v>
      </c>
      <c r="AM29" s="12" t="s">
        <v>194</v>
      </c>
      <c r="AN29" s="11">
        <v>0</v>
      </c>
      <c r="AO29" s="12" t="s">
        <v>194</v>
      </c>
      <c r="AP29" s="12" t="s">
        <v>194</v>
      </c>
      <c r="AQ29" s="12" t="s">
        <v>194</v>
      </c>
      <c r="AR29" s="12" t="s">
        <v>192</v>
      </c>
      <c r="AS29" s="12"/>
      <c r="AT29" s="12"/>
      <c r="AU29" s="12"/>
      <c r="AV29" s="11"/>
      <c r="AW29" s="11"/>
      <c r="AX29" s="32" t="s">
        <v>14</v>
      </c>
      <c r="AY29" s="12"/>
    </row>
    <row r="30" spans="3:51" ht="52.2" x14ac:dyDescent="0.3">
      <c r="C30" s="87" t="s">
        <v>4</v>
      </c>
      <c r="D30" s="19" t="s">
        <v>263</v>
      </c>
      <c r="E30" s="24" t="s">
        <v>292</v>
      </c>
      <c r="F30" s="19" t="s">
        <v>100</v>
      </c>
      <c r="G30" s="19" t="s">
        <v>89</v>
      </c>
      <c r="H30" s="24" t="s">
        <v>275</v>
      </c>
      <c r="I30" s="77">
        <v>3638</v>
      </c>
      <c r="J30" s="12" t="s">
        <v>193</v>
      </c>
      <c r="K30" s="12" t="s">
        <v>193</v>
      </c>
      <c r="L30" s="12" t="s">
        <v>193</v>
      </c>
      <c r="M30" s="42">
        <v>45930</v>
      </c>
      <c r="N30" s="43">
        <v>45960</v>
      </c>
      <c r="O30" s="12"/>
      <c r="P30" s="12"/>
      <c r="Q30" s="12"/>
      <c r="R30" s="12" t="s">
        <v>193</v>
      </c>
      <c r="S30" s="12"/>
      <c r="T30" s="12" t="s">
        <v>194</v>
      </c>
      <c r="U30" s="12"/>
      <c r="V30" s="74"/>
      <c r="W30" s="12"/>
      <c r="X30" s="57" t="s">
        <v>329</v>
      </c>
      <c r="Y30" s="12"/>
      <c r="Z30" s="12"/>
      <c r="AA30" s="12"/>
      <c r="AB30" s="12"/>
      <c r="AC30" s="11" t="s">
        <v>266</v>
      </c>
      <c r="AD30" s="11"/>
      <c r="AE30" s="11"/>
      <c r="AF30" s="11"/>
      <c r="AG30" s="11"/>
      <c r="AH30" s="11"/>
      <c r="AI30" s="12"/>
      <c r="AJ30" s="12"/>
      <c r="AK30" s="12"/>
      <c r="AL30" s="12"/>
      <c r="AM30" s="12"/>
      <c r="AN30" s="11"/>
      <c r="AO30" s="12"/>
      <c r="AP30" s="12"/>
      <c r="AQ30" s="12"/>
      <c r="AR30" s="12" t="s">
        <v>194</v>
      </c>
      <c r="AS30" s="12"/>
      <c r="AT30" s="12"/>
      <c r="AU30" s="12"/>
      <c r="AV30" s="11"/>
      <c r="AW30" s="11"/>
      <c r="AX30" s="32" t="s">
        <v>15</v>
      </c>
      <c r="AY30" s="12"/>
    </row>
    <row r="31" spans="3:51" ht="52.2" x14ac:dyDescent="0.3">
      <c r="C31" s="87" t="s">
        <v>4</v>
      </c>
      <c r="D31" s="19" t="s">
        <v>293</v>
      </c>
      <c r="E31" s="27" t="s">
        <v>294</v>
      </c>
      <c r="F31" s="32" t="s">
        <v>88</v>
      </c>
      <c r="G31" s="19" t="s">
        <v>89</v>
      </c>
      <c r="H31" s="32" t="s">
        <v>262</v>
      </c>
      <c r="I31" s="77">
        <v>111399</v>
      </c>
      <c r="J31" s="12" t="s">
        <v>193</v>
      </c>
      <c r="K31" s="12" t="s">
        <v>193</v>
      </c>
      <c r="L31" s="12" t="s">
        <v>193</v>
      </c>
      <c r="M31" s="36">
        <v>45930</v>
      </c>
      <c r="N31" s="37">
        <v>45960</v>
      </c>
      <c r="O31" s="12"/>
      <c r="P31" s="12" t="s">
        <v>270</v>
      </c>
      <c r="Q31" s="12" t="s">
        <v>193</v>
      </c>
      <c r="R31" s="12" t="s">
        <v>193</v>
      </c>
      <c r="S31" s="12"/>
      <c r="T31" s="12" t="s">
        <v>194</v>
      </c>
      <c r="U31" s="12"/>
      <c r="V31" s="74"/>
      <c r="W31" s="12"/>
      <c r="X31" s="52" t="s">
        <v>327</v>
      </c>
      <c r="Y31" s="12"/>
      <c r="Z31" s="12"/>
      <c r="AA31" s="12"/>
      <c r="AB31" s="12"/>
      <c r="AC31" s="11">
        <v>1</v>
      </c>
      <c r="AD31" s="11">
        <v>20</v>
      </c>
      <c r="AE31" s="11">
        <v>21</v>
      </c>
      <c r="AF31" s="11"/>
      <c r="AG31" s="11"/>
      <c r="AH31" s="68">
        <v>0.77380000000000004</v>
      </c>
      <c r="AI31" s="12" t="s">
        <v>194</v>
      </c>
      <c r="AJ31" s="12" t="s">
        <v>194</v>
      </c>
      <c r="AK31" s="12" t="s">
        <v>194</v>
      </c>
      <c r="AL31" s="12" t="s">
        <v>194</v>
      </c>
      <c r="AM31" s="12" t="s">
        <v>194</v>
      </c>
      <c r="AN31" s="11">
        <v>0</v>
      </c>
      <c r="AO31" s="12" t="s">
        <v>194</v>
      </c>
      <c r="AP31" s="12" t="s">
        <v>194</v>
      </c>
      <c r="AQ31" s="12" t="s">
        <v>194</v>
      </c>
      <c r="AR31" s="12" t="s">
        <v>192</v>
      </c>
      <c r="AS31" s="12"/>
      <c r="AT31" s="12"/>
      <c r="AU31" s="12"/>
      <c r="AV31" s="11"/>
      <c r="AW31" s="11"/>
      <c r="AX31" s="32" t="s">
        <v>14</v>
      </c>
      <c r="AY31" s="12"/>
    </row>
    <row r="32" spans="3:51" ht="52.2" x14ac:dyDescent="0.3">
      <c r="C32" s="87" t="s">
        <v>4</v>
      </c>
      <c r="D32" s="19" t="s">
        <v>293</v>
      </c>
      <c r="E32" s="24" t="s">
        <v>295</v>
      </c>
      <c r="F32" s="32" t="s">
        <v>88</v>
      </c>
      <c r="G32" s="19" t="s">
        <v>89</v>
      </c>
      <c r="H32" s="32" t="s">
        <v>262</v>
      </c>
      <c r="I32" s="77">
        <v>111178</v>
      </c>
      <c r="J32" s="12" t="s">
        <v>193</v>
      </c>
      <c r="K32" s="12" t="s">
        <v>193</v>
      </c>
      <c r="L32" s="12" t="s">
        <v>193</v>
      </c>
      <c r="M32" s="36">
        <v>45960</v>
      </c>
      <c r="N32" s="36" t="s">
        <v>296</v>
      </c>
      <c r="O32" s="12"/>
      <c r="P32" s="12" t="s">
        <v>270</v>
      </c>
      <c r="Q32" s="12" t="s">
        <v>193</v>
      </c>
      <c r="R32" s="12" t="s">
        <v>193</v>
      </c>
      <c r="S32" s="12"/>
      <c r="T32" s="12" t="s">
        <v>194</v>
      </c>
      <c r="U32" s="12"/>
      <c r="V32" s="74"/>
      <c r="W32" s="12"/>
      <c r="X32" s="60" t="s">
        <v>327</v>
      </c>
      <c r="Y32" s="12"/>
      <c r="Z32" s="12"/>
      <c r="AA32" s="12"/>
      <c r="AB32" s="12"/>
      <c r="AC32" s="11">
        <v>3</v>
      </c>
      <c r="AD32" s="11">
        <v>19</v>
      </c>
      <c r="AE32" s="11">
        <v>22</v>
      </c>
      <c r="AF32" s="11"/>
      <c r="AG32" s="11"/>
      <c r="AH32" s="68">
        <v>0.72</v>
      </c>
      <c r="AI32" s="12" t="s">
        <v>194</v>
      </c>
      <c r="AJ32" s="12" t="s">
        <v>194</v>
      </c>
      <c r="AK32" s="12" t="s">
        <v>194</v>
      </c>
      <c r="AL32" s="12" t="s">
        <v>194</v>
      </c>
      <c r="AM32" s="12" t="s">
        <v>194</v>
      </c>
      <c r="AN32" s="11">
        <v>0</v>
      </c>
      <c r="AO32" s="12" t="s">
        <v>194</v>
      </c>
      <c r="AP32" s="12" t="s">
        <v>194</v>
      </c>
      <c r="AQ32" s="12" t="s">
        <v>194</v>
      </c>
      <c r="AR32" s="12" t="s">
        <v>192</v>
      </c>
      <c r="AS32" s="12"/>
      <c r="AT32" s="12"/>
      <c r="AU32" s="12"/>
      <c r="AV32" s="11"/>
      <c r="AW32" s="11"/>
      <c r="AX32" s="32" t="s">
        <v>14</v>
      </c>
      <c r="AY32" s="12"/>
    </row>
    <row r="33" spans="3:51" ht="52.2" x14ac:dyDescent="0.3">
      <c r="C33" s="87" t="s">
        <v>4</v>
      </c>
      <c r="D33" s="19" t="s">
        <v>260</v>
      </c>
      <c r="E33" s="27" t="s">
        <v>56</v>
      </c>
      <c r="F33" s="32" t="s">
        <v>100</v>
      </c>
      <c r="G33" s="19" t="s">
        <v>89</v>
      </c>
      <c r="H33" s="32" t="s">
        <v>275</v>
      </c>
      <c r="I33" s="77">
        <v>1892</v>
      </c>
      <c r="J33" s="12" t="s">
        <v>193</v>
      </c>
      <c r="K33" s="12" t="s">
        <v>193</v>
      </c>
      <c r="L33" s="12" t="s">
        <v>193</v>
      </c>
      <c r="M33" s="36">
        <v>45960</v>
      </c>
      <c r="N33" s="36" t="s">
        <v>296</v>
      </c>
      <c r="O33" s="12"/>
      <c r="P33" s="12"/>
      <c r="Q33" s="12"/>
      <c r="R33" s="12" t="s">
        <v>193</v>
      </c>
      <c r="S33" s="12"/>
      <c r="T33" s="12" t="s">
        <v>193</v>
      </c>
      <c r="U33" s="12"/>
      <c r="V33" s="74"/>
      <c r="W33" s="12"/>
      <c r="X33" s="60" t="s">
        <v>329</v>
      </c>
      <c r="Y33" s="12"/>
      <c r="Z33" s="12"/>
      <c r="AA33" s="12"/>
      <c r="AB33" s="12"/>
      <c r="AC33" s="11" t="s">
        <v>266</v>
      </c>
      <c r="AD33" s="11"/>
      <c r="AE33" s="11"/>
      <c r="AF33" s="11"/>
      <c r="AG33" s="11"/>
      <c r="AH33" s="11"/>
      <c r="AI33" s="12" t="s">
        <v>194</v>
      </c>
      <c r="AJ33" s="12" t="s">
        <v>194</v>
      </c>
      <c r="AK33" s="12" t="s">
        <v>194</v>
      </c>
      <c r="AL33" s="12" t="s">
        <v>194</v>
      </c>
      <c r="AM33" s="12" t="s">
        <v>194</v>
      </c>
      <c r="AN33" s="11">
        <v>0</v>
      </c>
      <c r="AO33" s="12"/>
      <c r="AP33" s="12"/>
      <c r="AQ33" s="12"/>
      <c r="AR33" s="12" t="s">
        <v>194</v>
      </c>
      <c r="AS33" s="12"/>
      <c r="AT33" s="12"/>
      <c r="AU33" s="12"/>
      <c r="AV33" s="11"/>
      <c r="AW33" s="11"/>
      <c r="AX33" s="32" t="s">
        <v>15</v>
      </c>
      <c r="AY33" s="12"/>
    </row>
    <row r="34" spans="3:51" ht="69.599999999999994" x14ac:dyDescent="0.3">
      <c r="C34" s="88" t="s">
        <v>10</v>
      </c>
      <c r="D34" s="20" t="s">
        <v>280</v>
      </c>
      <c r="E34" s="26" t="s">
        <v>297</v>
      </c>
      <c r="F34" s="20" t="s">
        <v>100</v>
      </c>
      <c r="G34" s="20" t="s">
        <v>101</v>
      </c>
      <c r="H34" s="20" t="s">
        <v>275</v>
      </c>
      <c r="I34" s="77">
        <v>107647</v>
      </c>
      <c r="J34" s="12" t="s">
        <v>193</v>
      </c>
      <c r="K34" s="12" t="s">
        <v>193</v>
      </c>
      <c r="L34" s="12" t="s">
        <v>193</v>
      </c>
      <c r="M34" s="40">
        <v>45960</v>
      </c>
      <c r="N34" s="40" t="s">
        <v>296</v>
      </c>
      <c r="O34" s="12"/>
      <c r="P34" s="12"/>
      <c r="Q34" s="12"/>
      <c r="R34" s="12" t="s">
        <v>193</v>
      </c>
      <c r="S34" s="12"/>
      <c r="T34" s="12" t="s">
        <v>192</v>
      </c>
      <c r="U34" s="12"/>
      <c r="V34" s="74"/>
      <c r="W34" s="12"/>
      <c r="X34" s="54" t="s">
        <v>328</v>
      </c>
      <c r="Y34" s="12"/>
      <c r="Z34" s="12"/>
      <c r="AA34" s="12"/>
      <c r="AB34" s="12"/>
      <c r="AC34" s="11" t="s">
        <v>266</v>
      </c>
      <c r="AD34" s="11"/>
      <c r="AE34" s="11"/>
      <c r="AF34" s="11"/>
      <c r="AG34" s="11"/>
      <c r="AH34" s="11"/>
      <c r="AI34" s="12"/>
      <c r="AJ34" s="12"/>
      <c r="AK34" s="12"/>
      <c r="AL34" s="12"/>
      <c r="AM34" s="12"/>
      <c r="AN34" s="11"/>
      <c r="AO34" s="12"/>
      <c r="AP34" s="12"/>
      <c r="AQ34" s="12"/>
      <c r="AR34" s="12" t="s">
        <v>194</v>
      </c>
      <c r="AS34" s="12"/>
      <c r="AT34" s="12"/>
      <c r="AU34" s="12"/>
      <c r="AV34" s="11"/>
      <c r="AW34" s="11"/>
      <c r="AX34" s="32" t="s">
        <v>15</v>
      </c>
      <c r="AY34" s="12"/>
    </row>
    <row r="35" spans="3:51" ht="69.599999999999994" x14ac:dyDescent="0.3">
      <c r="C35" s="88" t="s">
        <v>10</v>
      </c>
      <c r="D35" s="20" t="s">
        <v>280</v>
      </c>
      <c r="E35" s="20" t="s">
        <v>281</v>
      </c>
      <c r="F35" s="20" t="s">
        <v>100</v>
      </c>
      <c r="G35" s="20" t="s">
        <v>89</v>
      </c>
      <c r="H35" s="20" t="s">
        <v>275</v>
      </c>
      <c r="I35" s="77">
        <v>1895</v>
      </c>
      <c r="J35" s="12" t="s">
        <v>193</v>
      </c>
      <c r="K35" s="12" t="s">
        <v>193</v>
      </c>
      <c r="L35" s="12" t="s">
        <v>193</v>
      </c>
      <c r="M35" s="40">
        <v>45960</v>
      </c>
      <c r="N35" s="40" t="s">
        <v>296</v>
      </c>
      <c r="O35" s="12"/>
      <c r="P35" s="12"/>
      <c r="Q35" s="12"/>
      <c r="R35" s="12" t="s">
        <v>193</v>
      </c>
      <c r="S35" s="12"/>
      <c r="T35" s="12" t="s">
        <v>192</v>
      </c>
      <c r="U35" s="12"/>
      <c r="V35" s="74"/>
      <c r="W35" s="12"/>
      <c r="X35" s="54" t="s">
        <v>328</v>
      </c>
      <c r="Y35" s="12"/>
      <c r="Z35" s="12"/>
      <c r="AA35" s="12"/>
      <c r="AB35" s="12"/>
      <c r="AC35" s="11" t="s">
        <v>266</v>
      </c>
      <c r="AD35" s="11"/>
      <c r="AE35" s="11"/>
      <c r="AF35" s="11"/>
      <c r="AG35" s="11"/>
      <c r="AH35" s="11"/>
      <c r="AI35" s="12" t="s">
        <v>194</v>
      </c>
      <c r="AJ35" s="12" t="s">
        <v>194</v>
      </c>
      <c r="AK35" s="12" t="s">
        <v>194</v>
      </c>
      <c r="AL35" s="12" t="s">
        <v>194</v>
      </c>
      <c r="AM35" s="12" t="s">
        <v>194</v>
      </c>
      <c r="AN35" s="11">
        <v>0</v>
      </c>
      <c r="AO35" s="12"/>
      <c r="AP35" s="12"/>
      <c r="AQ35" s="12"/>
      <c r="AR35" s="12" t="s">
        <v>194</v>
      </c>
      <c r="AS35" s="12"/>
      <c r="AT35" s="12"/>
      <c r="AU35" s="12"/>
      <c r="AV35" s="11"/>
      <c r="AW35" s="11"/>
      <c r="AX35" s="32" t="s">
        <v>15</v>
      </c>
      <c r="AY35" s="12"/>
    </row>
    <row r="36" spans="3:51" ht="52.2" x14ac:dyDescent="0.3">
      <c r="C36" s="89" t="s">
        <v>7</v>
      </c>
      <c r="D36" s="21" t="s">
        <v>298</v>
      </c>
      <c r="E36" s="21" t="s">
        <v>299</v>
      </c>
      <c r="F36" s="21" t="s">
        <v>88</v>
      </c>
      <c r="G36" s="21" t="s">
        <v>101</v>
      </c>
      <c r="H36" s="21" t="s">
        <v>262</v>
      </c>
      <c r="I36" s="77">
        <v>103090</v>
      </c>
      <c r="J36" s="12" t="s">
        <v>193</v>
      </c>
      <c r="K36" s="12" t="s">
        <v>193</v>
      </c>
      <c r="L36" s="12" t="s">
        <v>193</v>
      </c>
      <c r="M36" s="44">
        <v>45960</v>
      </c>
      <c r="N36" s="44" t="s">
        <v>300</v>
      </c>
      <c r="O36" s="12"/>
      <c r="P36" s="12" t="s">
        <v>270</v>
      </c>
      <c r="Q36" s="12" t="s">
        <v>193</v>
      </c>
      <c r="R36" s="12" t="s">
        <v>193</v>
      </c>
      <c r="S36" s="12"/>
      <c r="T36" s="12" t="s">
        <v>194</v>
      </c>
      <c r="U36" s="12"/>
      <c r="V36" s="74"/>
      <c r="W36" s="12"/>
      <c r="X36" s="61" t="s">
        <v>331</v>
      </c>
      <c r="Y36" s="12"/>
      <c r="Z36" s="12"/>
      <c r="AA36" s="12"/>
      <c r="AB36" s="12"/>
      <c r="AC36" s="11">
        <v>1</v>
      </c>
      <c r="AD36" s="11">
        <v>1</v>
      </c>
      <c r="AE36" s="11">
        <v>2</v>
      </c>
      <c r="AF36" s="11"/>
      <c r="AG36" s="11"/>
      <c r="AH36" s="68">
        <v>0.3</v>
      </c>
      <c r="AI36" s="12"/>
      <c r="AJ36" s="12"/>
      <c r="AK36" s="12"/>
      <c r="AL36" s="12"/>
      <c r="AM36" s="12"/>
      <c r="AN36" s="11"/>
      <c r="AO36" s="12" t="s">
        <v>194</v>
      </c>
      <c r="AP36" s="12" t="s">
        <v>194</v>
      </c>
      <c r="AQ36" s="12" t="s">
        <v>194</v>
      </c>
      <c r="AR36" s="12" t="s">
        <v>194</v>
      </c>
      <c r="AS36" s="12"/>
      <c r="AT36" s="12"/>
      <c r="AU36" s="12"/>
      <c r="AV36" s="11"/>
      <c r="AW36" s="11"/>
      <c r="AX36" s="32" t="s">
        <v>15</v>
      </c>
      <c r="AY36" s="12"/>
    </row>
    <row r="37" spans="3:51" ht="52.2" x14ac:dyDescent="0.3">
      <c r="C37" s="89" t="s">
        <v>7</v>
      </c>
      <c r="D37" s="21" t="s">
        <v>298</v>
      </c>
      <c r="E37" s="21" t="s">
        <v>301</v>
      </c>
      <c r="F37" s="33" t="s">
        <v>6</v>
      </c>
      <c r="G37" s="21" t="s">
        <v>89</v>
      </c>
      <c r="H37" s="21" t="s">
        <v>265</v>
      </c>
      <c r="I37" s="77">
        <v>102847</v>
      </c>
      <c r="J37" s="12" t="s">
        <v>192</v>
      </c>
      <c r="K37" s="12" t="s">
        <v>192</v>
      </c>
      <c r="L37" s="12" t="s">
        <v>192</v>
      </c>
      <c r="M37" s="44">
        <v>45960</v>
      </c>
      <c r="N37" s="44" t="s">
        <v>296</v>
      </c>
      <c r="O37" s="12"/>
      <c r="P37" s="12"/>
      <c r="Q37" s="12"/>
      <c r="R37" s="12" t="s">
        <v>192</v>
      </c>
      <c r="S37" s="12"/>
      <c r="T37" s="12" t="s">
        <v>194</v>
      </c>
      <c r="U37" s="12"/>
      <c r="V37" s="74"/>
      <c r="W37" s="12"/>
      <c r="X37" s="61" t="s">
        <v>329</v>
      </c>
      <c r="Y37" s="12"/>
      <c r="Z37" s="12"/>
      <c r="AA37" s="12"/>
      <c r="AB37" s="12"/>
      <c r="AC37" s="11"/>
      <c r="AD37" s="11"/>
      <c r="AE37" s="11"/>
      <c r="AF37" s="11"/>
      <c r="AG37" s="11"/>
      <c r="AH37" s="11"/>
      <c r="AI37" s="12" t="s">
        <v>192</v>
      </c>
      <c r="AJ37" s="12" t="s">
        <v>192</v>
      </c>
      <c r="AK37" s="12" t="s">
        <v>192</v>
      </c>
      <c r="AL37" s="12" t="s">
        <v>192</v>
      </c>
      <c r="AM37" s="12"/>
      <c r="AN37" s="68">
        <v>0.1</v>
      </c>
      <c r="AO37" s="12" t="s">
        <v>194</v>
      </c>
      <c r="AP37" s="12" t="s">
        <v>194</v>
      </c>
      <c r="AQ37" s="12" t="s">
        <v>194</v>
      </c>
      <c r="AR37" s="12" t="s">
        <v>194</v>
      </c>
      <c r="AS37" s="12"/>
      <c r="AT37" s="12"/>
      <c r="AU37" s="12"/>
      <c r="AV37" s="11"/>
      <c r="AW37" s="11"/>
      <c r="AX37" s="32" t="s">
        <v>15</v>
      </c>
    </row>
    <row r="38" spans="3:51" ht="52.2" x14ac:dyDescent="0.3">
      <c r="C38" s="89" t="s">
        <v>7</v>
      </c>
      <c r="D38" s="21" t="s">
        <v>298</v>
      </c>
      <c r="E38" s="21" t="s">
        <v>301</v>
      </c>
      <c r="F38" s="21" t="s">
        <v>100</v>
      </c>
      <c r="G38" s="21" t="s">
        <v>89</v>
      </c>
      <c r="H38" s="21" t="s">
        <v>275</v>
      </c>
      <c r="I38" s="77">
        <v>101382</v>
      </c>
      <c r="J38" s="12" t="s">
        <v>193</v>
      </c>
      <c r="K38" s="12" t="s">
        <v>193</v>
      </c>
      <c r="L38" s="12" t="s">
        <v>193</v>
      </c>
      <c r="M38" s="44">
        <v>45960</v>
      </c>
      <c r="N38" s="44" t="s">
        <v>296</v>
      </c>
      <c r="O38" s="12"/>
      <c r="P38" s="12"/>
      <c r="Q38" s="12"/>
      <c r="R38" s="12" t="s">
        <v>193</v>
      </c>
      <c r="S38" s="12"/>
      <c r="T38" s="12" t="s">
        <v>193</v>
      </c>
      <c r="U38" s="12"/>
      <c r="V38" s="74"/>
      <c r="W38" s="12"/>
      <c r="X38" s="61"/>
      <c r="Y38" s="12"/>
      <c r="Z38" s="12"/>
      <c r="AA38" s="12"/>
      <c r="AB38" s="12"/>
      <c r="AC38" s="11" t="s">
        <v>266</v>
      </c>
      <c r="AD38" s="11"/>
      <c r="AE38" s="11"/>
      <c r="AF38" s="11"/>
      <c r="AG38" s="11"/>
      <c r="AH38" s="11"/>
      <c r="AI38" s="12" t="s">
        <v>192</v>
      </c>
      <c r="AJ38" s="12" t="s">
        <v>192</v>
      </c>
      <c r="AK38" s="12" t="s">
        <v>192</v>
      </c>
      <c r="AL38" s="12" t="s">
        <v>192</v>
      </c>
      <c r="AM38" s="12"/>
      <c r="AN38" s="68">
        <v>0.1</v>
      </c>
      <c r="AO38" s="12"/>
      <c r="AP38" s="12"/>
      <c r="AQ38" s="12"/>
      <c r="AR38" s="12" t="s">
        <v>193</v>
      </c>
      <c r="AS38" s="12"/>
      <c r="AT38" s="12"/>
      <c r="AU38" s="12"/>
      <c r="AV38" s="11"/>
      <c r="AW38" s="11"/>
      <c r="AX38" s="32" t="s">
        <v>14</v>
      </c>
    </row>
    <row r="39" spans="3:51" ht="52.2" x14ac:dyDescent="0.3">
      <c r="C39" s="89" t="s">
        <v>7</v>
      </c>
      <c r="D39" s="21" t="s">
        <v>298</v>
      </c>
      <c r="E39" s="21" t="s">
        <v>118</v>
      </c>
      <c r="F39" s="21" t="s">
        <v>88</v>
      </c>
      <c r="G39" s="21" t="s">
        <v>89</v>
      </c>
      <c r="H39" s="21" t="s">
        <v>262</v>
      </c>
      <c r="I39" s="77">
        <v>53140</v>
      </c>
      <c r="J39" s="12" t="s">
        <v>193</v>
      </c>
      <c r="K39" s="12" t="s">
        <v>193</v>
      </c>
      <c r="L39" s="12" t="s">
        <v>193</v>
      </c>
      <c r="M39" s="44">
        <v>45960</v>
      </c>
      <c r="N39" s="44" t="s">
        <v>302</v>
      </c>
      <c r="O39" s="12"/>
      <c r="P39" s="12" t="s">
        <v>270</v>
      </c>
      <c r="Q39" s="12" t="s">
        <v>193</v>
      </c>
      <c r="R39" s="12" t="s">
        <v>193</v>
      </c>
      <c r="S39" s="12"/>
      <c r="T39" s="12" t="s">
        <v>194</v>
      </c>
      <c r="U39" s="12"/>
      <c r="V39" s="74"/>
      <c r="W39" s="12"/>
      <c r="X39" s="61" t="s">
        <v>331</v>
      </c>
      <c r="Y39" s="12"/>
      <c r="Z39" s="12"/>
      <c r="AA39" s="12"/>
      <c r="AB39" s="12"/>
      <c r="AC39" s="11">
        <v>8</v>
      </c>
      <c r="AD39" s="11">
        <v>2</v>
      </c>
      <c r="AE39" s="11">
        <v>10</v>
      </c>
      <c r="AF39" s="11"/>
      <c r="AG39" s="11"/>
      <c r="AH39" s="68">
        <v>0.05</v>
      </c>
      <c r="AI39" s="12" t="s">
        <v>194</v>
      </c>
      <c r="AJ39" s="12" t="s">
        <v>194</v>
      </c>
      <c r="AK39" s="12" t="s">
        <v>194</v>
      </c>
      <c r="AL39" s="12" t="s">
        <v>194</v>
      </c>
      <c r="AM39" s="12" t="s">
        <v>194</v>
      </c>
      <c r="AN39" s="11">
        <v>0</v>
      </c>
      <c r="AO39" s="12" t="s">
        <v>194</v>
      </c>
      <c r="AP39" s="12" t="s">
        <v>194</v>
      </c>
      <c r="AQ39" s="12" t="s">
        <v>194</v>
      </c>
      <c r="AR39" s="12" t="s">
        <v>194</v>
      </c>
      <c r="AS39" s="12"/>
      <c r="AT39" s="12"/>
      <c r="AU39" s="12"/>
      <c r="AV39" s="11"/>
      <c r="AW39" s="11"/>
      <c r="AX39" s="32" t="s">
        <v>15</v>
      </c>
    </row>
    <row r="40" spans="3:51" ht="69.599999999999994" x14ac:dyDescent="0.3">
      <c r="C40" s="87" t="s">
        <v>4</v>
      </c>
      <c r="D40" s="19" t="s">
        <v>303</v>
      </c>
      <c r="E40" s="24" t="s">
        <v>304</v>
      </c>
      <c r="F40" s="32" t="s">
        <v>88</v>
      </c>
      <c r="G40" s="19" t="s">
        <v>89</v>
      </c>
      <c r="H40" s="32" t="s">
        <v>262</v>
      </c>
      <c r="I40" s="77">
        <v>103799</v>
      </c>
      <c r="J40" s="12" t="s">
        <v>193</v>
      </c>
      <c r="K40" s="12" t="s">
        <v>193</v>
      </c>
      <c r="L40" s="12" t="s">
        <v>193</v>
      </c>
      <c r="M40" s="36">
        <v>45960</v>
      </c>
      <c r="N40" s="36" t="s">
        <v>296</v>
      </c>
      <c r="O40" s="12"/>
      <c r="P40" s="12" t="s">
        <v>270</v>
      </c>
      <c r="Q40" s="12" t="s">
        <v>193</v>
      </c>
      <c r="R40" s="12" t="s">
        <v>193</v>
      </c>
      <c r="S40" s="12"/>
      <c r="T40" s="12" t="s">
        <v>194</v>
      </c>
      <c r="U40" s="12"/>
      <c r="V40" s="74"/>
      <c r="W40" s="12"/>
      <c r="X40" s="60" t="s">
        <v>327</v>
      </c>
      <c r="Y40" s="12"/>
      <c r="Z40" s="12"/>
      <c r="AA40" s="12"/>
      <c r="AB40" s="12"/>
      <c r="AC40" s="11">
        <v>3</v>
      </c>
      <c r="AD40" s="11">
        <v>8</v>
      </c>
      <c r="AE40" s="11">
        <v>11</v>
      </c>
      <c r="AF40" s="11"/>
      <c r="AG40" s="11"/>
      <c r="AH40" s="71">
        <v>0</v>
      </c>
      <c r="AI40" s="12" t="s">
        <v>194</v>
      </c>
      <c r="AJ40" s="12" t="s">
        <v>194</v>
      </c>
      <c r="AK40" s="12" t="s">
        <v>194</v>
      </c>
      <c r="AL40" s="12" t="s">
        <v>194</v>
      </c>
      <c r="AM40" s="12" t="s">
        <v>194</v>
      </c>
      <c r="AN40" s="11">
        <v>0</v>
      </c>
      <c r="AO40" s="12" t="s">
        <v>194</v>
      </c>
      <c r="AP40" s="12" t="s">
        <v>194</v>
      </c>
      <c r="AQ40" s="12" t="s">
        <v>194</v>
      </c>
      <c r="AR40" s="12" t="s">
        <v>192</v>
      </c>
      <c r="AS40" s="12"/>
      <c r="AT40" s="12"/>
      <c r="AU40" s="12"/>
      <c r="AV40" s="11"/>
      <c r="AW40" s="11"/>
      <c r="AX40" s="32" t="s">
        <v>14</v>
      </c>
    </row>
    <row r="41" spans="3:51" ht="57.6" x14ac:dyDescent="0.3">
      <c r="C41" s="87" t="s">
        <v>4</v>
      </c>
      <c r="D41" s="19" t="s">
        <v>260</v>
      </c>
      <c r="E41" s="28" t="s">
        <v>305</v>
      </c>
      <c r="F41" s="32" t="s">
        <v>88</v>
      </c>
      <c r="G41" s="30" t="s">
        <v>95</v>
      </c>
      <c r="H41" s="32" t="s">
        <v>262</v>
      </c>
      <c r="I41" s="78" t="s">
        <v>332</v>
      </c>
      <c r="J41" s="12" t="s">
        <v>193</v>
      </c>
      <c r="K41" s="12" t="s">
        <v>193</v>
      </c>
      <c r="L41" s="12" t="s">
        <v>193</v>
      </c>
      <c r="M41" s="36">
        <v>45991</v>
      </c>
      <c r="N41" s="37">
        <v>45996</v>
      </c>
      <c r="O41" s="12"/>
      <c r="P41" s="12" t="s">
        <v>270</v>
      </c>
      <c r="Q41" s="12" t="s">
        <v>193</v>
      </c>
      <c r="R41" s="12" t="s">
        <v>193</v>
      </c>
      <c r="S41" s="12"/>
      <c r="T41" s="12" t="s">
        <v>193</v>
      </c>
      <c r="U41" s="12"/>
      <c r="V41" s="74"/>
      <c r="W41" s="12"/>
      <c r="X41" s="60" t="s">
        <v>327</v>
      </c>
      <c r="Y41" s="12"/>
      <c r="Z41" s="12"/>
      <c r="AA41" s="12"/>
      <c r="AB41" s="12"/>
      <c r="AC41" s="11">
        <v>12</v>
      </c>
      <c r="AD41" s="11"/>
      <c r="AE41" s="11">
        <v>12</v>
      </c>
      <c r="AF41" s="11"/>
      <c r="AG41" s="11"/>
      <c r="AH41" s="68">
        <v>0.13</v>
      </c>
      <c r="AI41" s="12"/>
      <c r="AJ41" s="12"/>
      <c r="AK41" s="12"/>
      <c r="AL41" s="12"/>
      <c r="AM41" s="12"/>
      <c r="AN41" s="11"/>
      <c r="AO41" s="12" t="s">
        <v>194</v>
      </c>
      <c r="AP41" s="12" t="s">
        <v>194</v>
      </c>
      <c r="AQ41" s="12" t="s">
        <v>194</v>
      </c>
      <c r="AR41" s="12" t="s">
        <v>194</v>
      </c>
      <c r="AS41" s="12"/>
      <c r="AT41" s="12"/>
      <c r="AU41" s="12"/>
      <c r="AV41" s="11"/>
      <c r="AW41" s="11"/>
      <c r="AX41" s="32" t="s">
        <v>15</v>
      </c>
    </row>
    <row r="42" spans="3:51" ht="52.2" x14ac:dyDescent="0.3">
      <c r="C42" s="88" t="s">
        <v>10</v>
      </c>
      <c r="D42" s="20" t="s">
        <v>123</v>
      </c>
      <c r="E42" s="29" t="s">
        <v>306</v>
      </c>
      <c r="F42" s="20" t="s">
        <v>100</v>
      </c>
      <c r="G42" s="20" t="s">
        <v>89</v>
      </c>
      <c r="H42" s="20" t="s">
        <v>275</v>
      </c>
      <c r="I42" s="77">
        <v>54726</v>
      </c>
      <c r="J42" s="12" t="s">
        <v>193</v>
      </c>
      <c r="K42" s="12" t="s">
        <v>193</v>
      </c>
      <c r="L42" s="12" t="s">
        <v>193</v>
      </c>
      <c r="M42" s="40">
        <v>45960</v>
      </c>
      <c r="N42" s="40" t="s">
        <v>296</v>
      </c>
      <c r="O42" s="12"/>
      <c r="P42" s="12"/>
      <c r="Q42" s="12"/>
      <c r="R42" s="12" t="s">
        <v>193</v>
      </c>
      <c r="S42" s="12"/>
      <c r="T42" s="12" t="s">
        <v>192</v>
      </c>
      <c r="U42" s="12"/>
      <c r="V42" s="74"/>
      <c r="W42" s="12"/>
      <c r="X42" s="54" t="s">
        <v>329</v>
      </c>
      <c r="Y42" s="12"/>
      <c r="Z42" s="12"/>
      <c r="AA42" s="12"/>
      <c r="AB42" s="12"/>
      <c r="AC42" s="11" t="s">
        <v>266</v>
      </c>
      <c r="AD42" s="11"/>
      <c r="AE42" s="11"/>
      <c r="AF42" s="11"/>
      <c r="AG42" s="11"/>
      <c r="AH42" s="11"/>
      <c r="AI42" s="12" t="s">
        <v>194</v>
      </c>
      <c r="AJ42" s="12" t="s">
        <v>194</v>
      </c>
      <c r="AK42" s="12" t="s">
        <v>194</v>
      </c>
      <c r="AL42" s="12" t="s">
        <v>194</v>
      </c>
      <c r="AM42" s="12" t="s">
        <v>194</v>
      </c>
      <c r="AN42" s="11">
        <v>0</v>
      </c>
      <c r="AO42" s="12"/>
      <c r="AP42" s="12"/>
      <c r="AQ42" s="12"/>
      <c r="AR42" s="12" t="s">
        <v>194</v>
      </c>
      <c r="AS42" s="12"/>
      <c r="AT42" s="12"/>
      <c r="AU42" s="12"/>
      <c r="AV42" s="11"/>
      <c r="AW42" s="11"/>
      <c r="AX42" s="32" t="s">
        <v>15</v>
      </c>
    </row>
    <row r="43" spans="3:51" ht="52.2" x14ac:dyDescent="0.3">
      <c r="C43" s="88" t="s">
        <v>10</v>
      </c>
      <c r="D43" s="20" t="s">
        <v>123</v>
      </c>
      <c r="E43" s="25" t="s">
        <v>61</v>
      </c>
      <c r="F43" s="20" t="s">
        <v>88</v>
      </c>
      <c r="G43" s="20" t="s">
        <v>89</v>
      </c>
      <c r="H43" s="20" t="s">
        <v>262</v>
      </c>
      <c r="I43" s="77">
        <v>110697</v>
      </c>
      <c r="J43" s="12" t="s">
        <v>193</v>
      </c>
      <c r="K43" s="12" t="s">
        <v>193</v>
      </c>
      <c r="L43" s="12" t="s">
        <v>193</v>
      </c>
      <c r="M43" s="40">
        <v>45960</v>
      </c>
      <c r="N43" s="40" t="s">
        <v>296</v>
      </c>
      <c r="O43" s="12"/>
      <c r="P43" s="12" t="s">
        <v>291</v>
      </c>
      <c r="Q43" s="12" t="s">
        <v>193</v>
      </c>
      <c r="R43" s="12" t="s">
        <v>193</v>
      </c>
      <c r="S43" s="12"/>
      <c r="T43" s="12" t="s">
        <v>192</v>
      </c>
      <c r="U43" s="12"/>
      <c r="V43" s="74"/>
      <c r="W43" s="12"/>
      <c r="X43" s="54" t="s">
        <v>329</v>
      </c>
      <c r="Y43" s="12"/>
      <c r="Z43" s="12"/>
      <c r="AA43" s="12"/>
      <c r="AB43" s="12"/>
      <c r="AC43" s="11">
        <v>3</v>
      </c>
      <c r="AD43" s="11">
        <v>2</v>
      </c>
      <c r="AE43" s="11">
        <v>5</v>
      </c>
      <c r="AF43" s="11"/>
      <c r="AG43" s="11"/>
      <c r="AH43" s="71">
        <v>0</v>
      </c>
      <c r="AI43" s="12" t="s">
        <v>194</v>
      </c>
      <c r="AJ43" s="12" t="s">
        <v>194</v>
      </c>
      <c r="AK43" s="12" t="s">
        <v>194</v>
      </c>
      <c r="AL43" s="12" t="s">
        <v>194</v>
      </c>
      <c r="AM43" s="12" t="s">
        <v>194</v>
      </c>
      <c r="AN43" s="11">
        <v>0</v>
      </c>
      <c r="AO43" s="12" t="s">
        <v>194</v>
      </c>
      <c r="AP43" s="12" t="s">
        <v>194</v>
      </c>
      <c r="AQ43" s="12" t="s">
        <v>194</v>
      </c>
      <c r="AR43" s="12" t="s">
        <v>192</v>
      </c>
      <c r="AS43" s="12"/>
      <c r="AT43" s="12"/>
      <c r="AU43" s="12"/>
      <c r="AV43" s="11"/>
      <c r="AW43" s="11"/>
      <c r="AX43" s="32" t="s">
        <v>14</v>
      </c>
    </row>
    <row r="44" spans="3:51" ht="52.2" x14ac:dyDescent="0.3">
      <c r="C44" s="87" t="s">
        <v>4</v>
      </c>
      <c r="D44" s="19" t="s">
        <v>293</v>
      </c>
      <c r="E44" s="24" t="s">
        <v>307</v>
      </c>
      <c r="F44" s="32" t="s">
        <v>88</v>
      </c>
      <c r="G44" s="19" t="s">
        <v>103</v>
      </c>
      <c r="H44" s="32" t="s">
        <v>262</v>
      </c>
      <c r="I44" s="77">
        <v>103640</v>
      </c>
      <c r="J44" s="12" t="s">
        <v>193</v>
      </c>
      <c r="K44" s="12" t="s">
        <v>193</v>
      </c>
      <c r="L44" s="12" t="s">
        <v>193</v>
      </c>
      <c r="M44" s="36">
        <v>45960</v>
      </c>
      <c r="N44" s="36" t="s">
        <v>296</v>
      </c>
      <c r="O44" s="12"/>
      <c r="P44" s="12" t="s">
        <v>270</v>
      </c>
      <c r="Q44" s="12" t="s">
        <v>193</v>
      </c>
      <c r="R44" s="12" t="s">
        <v>193</v>
      </c>
      <c r="S44" s="12"/>
      <c r="T44" s="12" t="s">
        <v>194</v>
      </c>
      <c r="U44" s="12"/>
      <c r="V44" s="74"/>
      <c r="W44" s="12"/>
      <c r="X44" s="60"/>
      <c r="Y44" s="12"/>
      <c r="Z44" s="12"/>
      <c r="AA44" s="12"/>
      <c r="AB44" s="12"/>
      <c r="AC44" s="11">
        <v>1</v>
      </c>
      <c r="AD44" s="11">
        <v>8</v>
      </c>
      <c r="AE44" s="11">
        <v>9</v>
      </c>
      <c r="AF44" s="11"/>
      <c r="AG44" s="11"/>
      <c r="AH44" s="68">
        <v>0</v>
      </c>
      <c r="AI44" s="12"/>
      <c r="AJ44" s="12"/>
      <c r="AK44" s="12"/>
      <c r="AL44" s="12"/>
      <c r="AM44" s="12"/>
      <c r="AN44" s="11"/>
      <c r="AO44" s="12" t="s">
        <v>194</v>
      </c>
      <c r="AP44" s="12" t="s">
        <v>194</v>
      </c>
      <c r="AQ44" s="12" t="s">
        <v>194</v>
      </c>
      <c r="AR44" s="12" t="s">
        <v>194</v>
      </c>
      <c r="AS44" s="12"/>
      <c r="AT44" s="12"/>
      <c r="AU44" s="12"/>
      <c r="AV44" s="11"/>
      <c r="AW44" s="11"/>
      <c r="AX44" s="34" t="s">
        <v>16</v>
      </c>
    </row>
    <row r="45" spans="3:51" ht="52.2" x14ac:dyDescent="0.3">
      <c r="C45" s="89" t="s">
        <v>7</v>
      </c>
      <c r="D45" s="21" t="s">
        <v>287</v>
      </c>
      <c r="E45" s="21" t="s">
        <v>308</v>
      </c>
      <c r="F45" s="21" t="s">
        <v>100</v>
      </c>
      <c r="G45" s="21" t="s">
        <v>103</v>
      </c>
      <c r="H45" s="21" t="s">
        <v>275</v>
      </c>
      <c r="I45" s="77">
        <v>3209</v>
      </c>
      <c r="J45" s="12" t="s">
        <v>193</v>
      </c>
      <c r="K45" s="12" t="s">
        <v>193</v>
      </c>
      <c r="L45" s="12" t="s">
        <v>193</v>
      </c>
      <c r="M45" s="44">
        <v>46142</v>
      </c>
      <c r="N45" s="45">
        <v>46172</v>
      </c>
      <c r="O45" s="12"/>
      <c r="P45" s="12"/>
      <c r="Q45" s="12"/>
      <c r="R45" s="12" t="s">
        <v>193</v>
      </c>
      <c r="S45" s="12"/>
      <c r="T45" s="12" t="s">
        <v>194</v>
      </c>
      <c r="U45" s="12"/>
      <c r="V45" s="74"/>
      <c r="W45" s="12"/>
      <c r="X45" s="58" t="s">
        <v>331</v>
      </c>
      <c r="Y45" s="12"/>
      <c r="Z45" s="12"/>
      <c r="AA45" s="12"/>
      <c r="AB45" s="12"/>
      <c r="AC45" s="11" t="s">
        <v>266</v>
      </c>
      <c r="AD45" s="11"/>
      <c r="AE45" s="11"/>
      <c r="AF45" s="11"/>
      <c r="AG45" s="11"/>
      <c r="AH45" s="11"/>
      <c r="AI45" s="12"/>
      <c r="AJ45" s="12"/>
      <c r="AK45" s="12"/>
      <c r="AL45" s="12"/>
      <c r="AM45" s="12"/>
      <c r="AN45" s="11"/>
      <c r="AO45" s="12"/>
      <c r="AP45" s="12"/>
      <c r="AQ45" s="12"/>
      <c r="AR45" s="12" t="s">
        <v>194</v>
      </c>
      <c r="AS45" s="12"/>
      <c r="AT45" s="12"/>
      <c r="AU45" s="12"/>
      <c r="AV45" s="11"/>
      <c r="AW45" s="11"/>
      <c r="AX45" s="32" t="s">
        <v>15</v>
      </c>
    </row>
    <row r="46" spans="3:51" ht="52.2" x14ac:dyDescent="0.3">
      <c r="C46" s="89" t="s">
        <v>7</v>
      </c>
      <c r="D46" s="21" t="s">
        <v>287</v>
      </c>
      <c r="E46" s="21" t="s">
        <v>288</v>
      </c>
      <c r="F46" s="21" t="s">
        <v>100</v>
      </c>
      <c r="G46" s="21" t="s">
        <v>89</v>
      </c>
      <c r="H46" s="21" t="s">
        <v>275</v>
      </c>
      <c r="I46" s="77">
        <v>1894</v>
      </c>
      <c r="J46" s="12" t="s">
        <v>193</v>
      </c>
      <c r="K46" s="12" t="s">
        <v>193</v>
      </c>
      <c r="L46" s="12" t="s">
        <v>193</v>
      </c>
      <c r="M46" s="46" t="s">
        <v>309</v>
      </c>
      <c r="N46" s="45">
        <v>46111</v>
      </c>
      <c r="O46" s="12"/>
      <c r="P46" s="12"/>
      <c r="Q46" s="12"/>
      <c r="R46" s="12" t="s">
        <v>193</v>
      </c>
      <c r="S46" s="12"/>
      <c r="T46" s="12" t="s">
        <v>193</v>
      </c>
      <c r="U46" s="12"/>
      <c r="V46" s="74"/>
      <c r="W46" s="12"/>
      <c r="X46" s="58" t="s">
        <v>329</v>
      </c>
      <c r="Y46" s="12"/>
      <c r="Z46" s="12"/>
      <c r="AA46" s="12"/>
      <c r="AB46" s="12"/>
      <c r="AC46" s="11" t="s">
        <v>266</v>
      </c>
      <c r="AD46" s="11"/>
      <c r="AE46" s="11"/>
      <c r="AF46" s="11"/>
      <c r="AG46" s="11"/>
      <c r="AH46" s="11"/>
      <c r="AI46" s="12" t="s">
        <v>194</v>
      </c>
      <c r="AJ46" s="12" t="s">
        <v>194</v>
      </c>
      <c r="AK46" s="12" t="s">
        <v>194</v>
      </c>
      <c r="AL46" s="12" t="s">
        <v>194</v>
      </c>
      <c r="AM46" s="12" t="s">
        <v>194</v>
      </c>
      <c r="AN46" s="68">
        <v>0</v>
      </c>
      <c r="AO46" s="12"/>
      <c r="AP46" s="12"/>
      <c r="AQ46" s="12"/>
      <c r="AR46" s="12" t="s">
        <v>193</v>
      </c>
      <c r="AS46" s="12"/>
      <c r="AT46" s="12"/>
      <c r="AU46" s="12"/>
      <c r="AV46" s="11"/>
      <c r="AW46" s="11"/>
      <c r="AX46" s="32" t="s">
        <v>14</v>
      </c>
    </row>
    <row r="47" spans="3:51" ht="52.2" x14ac:dyDescent="0.3">
      <c r="C47" s="89" t="s">
        <v>7</v>
      </c>
      <c r="D47" s="21" t="s">
        <v>287</v>
      </c>
      <c r="E47" s="21" t="s">
        <v>288</v>
      </c>
      <c r="F47" s="21" t="s">
        <v>88</v>
      </c>
      <c r="G47" s="21" t="s">
        <v>89</v>
      </c>
      <c r="H47" s="21" t="s">
        <v>262</v>
      </c>
      <c r="I47" s="77">
        <v>53632</v>
      </c>
      <c r="J47" s="12" t="s">
        <v>193</v>
      </c>
      <c r="K47" s="12" t="s">
        <v>193</v>
      </c>
      <c r="L47" s="12" t="s">
        <v>193</v>
      </c>
      <c r="M47" s="46" t="s">
        <v>309</v>
      </c>
      <c r="N47" s="45">
        <v>46111</v>
      </c>
      <c r="O47" s="12"/>
      <c r="P47" s="12" t="s">
        <v>270</v>
      </c>
      <c r="Q47" s="12" t="s">
        <v>193</v>
      </c>
      <c r="R47" s="12" t="s">
        <v>193</v>
      </c>
      <c r="S47" s="12"/>
      <c r="T47" s="12" t="s">
        <v>193</v>
      </c>
      <c r="U47" s="12"/>
      <c r="V47" s="74"/>
      <c r="W47" s="12"/>
      <c r="X47" s="58" t="s">
        <v>329</v>
      </c>
      <c r="Y47" s="12"/>
      <c r="Z47" s="12"/>
      <c r="AA47" s="12"/>
      <c r="AB47" s="12"/>
      <c r="AC47" s="11">
        <v>2</v>
      </c>
      <c r="AD47" s="11">
        <v>10</v>
      </c>
      <c r="AE47" s="11">
        <v>12</v>
      </c>
      <c r="AF47" s="11"/>
      <c r="AG47" s="11"/>
      <c r="AH47" s="71">
        <v>0</v>
      </c>
      <c r="AI47" s="12" t="s">
        <v>194</v>
      </c>
      <c r="AJ47" s="12" t="s">
        <v>194</v>
      </c>
      <c r="AK47" s="12" t="s">
        <v>194</v>
      </c>
      <c r="AL47" s="12" t="s">
        <v>194</v>
      </c>
      <c r="AM47" s="12" t="s">
        <v>194</v>
      </c>
      <c r="AN47" s="68">
        <v>0</v>
      </c>
      <c r="AO47" s="12" t="s">
        <v>194</v>
      </c>
      <c r="AP47" s="12" t="s">
        <v>194</v>
      </c>
      <c r="AQ47" s="12" t="s">
        <v>194</v>
      </c>
      <c r="AR47" s="12" t="s">
        <v>192</v>
      </c>
      <c r="AS47" s="12"/>
      <c r="AT47" s="12"/>
      <c r="AU47" s="12"/>
      <c r="AV47" s="11"/>
      <c r="AW47" s="11"/>
      <c r="AX47" s="32" t="s">
        <v>14</v>
      </c>
    </row>
    <row r="48" spans="3:51" ht="52.2" x14ac:dyDescent="0.3">
      <c r="C48" s="89" t="s">
        <v>7</v>
      </c>
      <c r="D48" s="21" t="s">
        <v>289</v>
      </c>
      <c r="E48" s="21" t="s">
        <v>310</v>
      </c>
      <c r="F48" s="21" t="s">
        <v>88</v>
      </c>
      <c r="G48" s="21" t="s">
        <v>101</v>
      </c>
      <c r="H48" s="21" t="s">
        <v>262</v>
      </c>
      <c r="I48" s="77">
        <v>110267</v>
      </c>
      <c r="J48" s="12" t="s">
        <v>193</v>
      </c>
      <c r="K48" s="12" t="s">
        <v>193</v>
      </c>
      <c r="L48" s="12" t="s">
        <v>193</v>
      </c>
      <c r="M48" s="46" t="s">
        <v>309</v>
      </c>
      <c r="N48" s="45">
        <v>46111</v>
      </c>
      <c r="O48" s="12"/>
      <c r="P48" s="12" t="s">
        <v>270</v>
      </c>
      <c r="Q48" s="12" t="s">
        <v>193</v>
      </c>
      <c r="R48" s="12" t="s">
        <v>193</v>
      </c>
      <c r="S48" s="12"/>
      <c r="T48" s="12" t="s">
        <v>194</v>
      </c>
      <c r="U48" s="12"/>
      <c r="V48" s="74"/>
      <c r="W48" s="12"/>
      <c r="X48" s="58"/>
      <c r="Y48" s="12"/>
      <c r="Z48" s="12"/>
      <c r="AA48" s="12"/>
      <c r="AB48" s="12"/>
      <c r="AC48" s="11">
        <v>0</v>
      </c>
      <c r="AD48" s="11">
        <v>2</v>
      </c>
      <c r="AE48" s="11">
        <v>2</v>
      </c>
      <c r="AF48" s="11"/>
      <c r="AG48" s="11"/>
      <c r="AH48" s="68">
        <v>0</v>
      </c>
      <c r="AI48" s="12"/>
      <c r="AJ48" s="12"/>
      <c r="AK48" s="12"/>
      <c r="AL48" s="12"/>
      <c r="AM48" s="12"/>
      <c r="AN48" s="11"/>
      <c r="AO48" s="12" t="s">
        <v>194</v>
      </c>
      <c r="AP48" s="12" t="s">
        <v>194</v>
      </c>
      <c r="AQ48" s="12" t="s">
        <v>194</v>
      </c>
      <c r="AR48" s="12" t="s">
        <v>194</v>
      </c>
      <c r="AS48" s="12"/>
      <c r="AT48" s="12"/>
      <c r="AU48" s="12"/>
      <c r="AV48" s="11"/>
      <c r="AW48" s="11"/>
      <c r="AX48" s="34" t="s">
        <v>16</v>
      </c>
    </row>
    <row r="49" spans="3:50" ht="52.2" x14ac:dyDescent="0.3">
      <c r="C49" s="87" t="s">
        <v>4</v>
      </c>
      <c r="D49" s="19" t="s">
        <v>260</v>
      </c>
      <c r="E49" s="19" t="s">
        <v>311</v>
      </c>
      <c r="F49" s="32" t="s">
        <v>100</v>
      </c>
      <c r="G49" s="19" t="s">
        <v>101</v>
      </c>
      <c r="H49" s="32" t="s">
        <v>265</v>
      </c>
      <c r="I49" s="77">
        <v>102633</v>
      </c>
      <c r="J49" s="12" t="s">
        <v>193</v>
      </c>
      <c r="K49" s="12" t="s">
        <v>193</v>
      </c>
      <c r="L49" s="12" t="s">
        <v>193</v>
      </c>
      <c r="M49" s="47" t="s">
        <v>309</v>
      </c>
      <c r="N49" s="37">
        <v>46111</v>
      </c>
      <c r="O49" s="12"/>
      <c r="P49" s="12"/>
      <c r="Q49" s="12"/>
      <c r="R49" s="12" t="s">
        <v>193</v>
      </c>
      <c r="S49" s="12"/>
      <c r="T49" s="12" t="s">
        <v>193</v>
      </c>
      <c r="U49" s="12"/>
      <c r="V49" s="74"/>
      <c r="W49" s="12"/>
      <c r="X49" s="52"/>
      <c r="Y49" s="12"/>
      <c r="Z49" s="12"/>
      <c r="AA49" s="12"/>
      <c r="AB49" s="12"/>
      <c r="AC49" s="11" t="s">
        <v>266</v>
      </c>
      <c r="AD49" s="11"/>
      <c r="AE49" s="11"/>
      <c r="AF49" s="11"/>
      <c r="AG49" s="11"/>
      <c r="AH49" s="11"/>
      <c r="AI49" s="12"/>
      <c r="AJ49" s="12"/>
      <c r="AK49" s="12"/>
      <c r="AL49" s="12"/>
      <c r="AM49" s="12"/>
      <c r="AN49" s="11"/>
      <c r="AO49" s="12"/>
      <c r="AP49" s="12"/>
      <c r="AQ49" s="12"/>
      <c r="AR49" s="12" t="s">
        <v>194</v>
      </c>
      <c r="AS49" s="12"/>
      <c r="AT49" s="12"/>
      <c r="AU49" s="12"/>
      <c r="AV49" s="11"/>
      <c r="AW49" s="11"/>
      <c r="AX49" s="34" t="s">
        <v>16</v>
      </c>
    </row>
    <row r="50" spans="3:50" ht="52.2" x14ac:dyDescent="0.3">
      <c r="C50" s="87" t="s">
        <v>4</v>
      </c>
      <c r="D50" s="19" t="s">
        <v>260</v>
      </c>
      <c r="E50" s="30" t="s">
        <v>56</v>
      </c>
      <c r="F50" s="32" t="s">
        <v>100</v>
      </c>
      <c r="G50" s="19" t="s">
        <v>89</v>
      </c>
      <c r="H50" s="32" t="s">
        <v>265</v>
      </c>
      <c r="I50" s="77">
        <v>102632</v>
      </c>
      <c r="J50" s="12" t="s">
        <v>193</v>
      </c>
      <c r="K50" s="12" t="s">
        <v>193</v>
      </c>
      <c r="L50" s="12" t="s">
        <v>193</v>
      </c>
      <c r="M50" s="47" t="s">
        <v>309</v>
      </c>
      <c r="N50" s="36">
        <v>46111</v>
      </c>
      <c r="O50" s="12"/>
      <c r="P50" s="12"/>
      <c r="Q50" s="12"/>
      <c r="R50" s="12" t="s">
        <v>193</v>
      </c>
      <c r="S50" s="12"/>
      <c r="T50" s="12" t="s">
        <v>193</v>
      </c>
      <c r="U50" s="12"/>
      <c r="V50" s="74"/>
      <c r="W50" s="12"/>
      <c r="X50" s="60"/>
      <c r="Y50" s="12"/>
      <c r="Z50" s="12"/>
      <c r="AA50" s="12"/>
      <c r="AB50" s="12"/>
      <c r="AC50" s="11" t="s">
        <v>266</v>
      </c>
      <c r="AD50" s="11"/>
      <c r="AE50" s="11"/>
      <c r="AF50" s="11"/>
      <c r="AG50" s="11"/>
      <c r="AH50" s="11"/>
      <c r="AI50" s="12" t="s">
        <v>194</v>
      </c>
      <c r="AJ50" s="12" t="s">
        <v>194</v>
      </c>
      <c r="AK50" s="12" t="s">
        <v>194</v>
      </c>
      <c r="AL50" s="12" t="s">
        <v>194</v>
      </c>
      <c r="AM50" s="12" t="s">
        <v>194</v>
      </c>
      <c r="AN50" s="11">
        <v>0</v>
      </c>
      <c r="AO50" s="12"/>
      <c r="AP50" s="12"/>
      <c r="AQ50" s="12"/>
      <c r="AR50" s="12" t="s">
        <v>194</v>
      </c>
      <c r="AS50" s="12"/>
      <c r="AT50" s="12"/>
      <c r="AU50" s="12"/>
      <c r="AV50" s="11"/>
      <c r="AW50" s="11"/>
      <c r="AX50" s="34" t="s">
        <v>16</v>
      </c>
    </row>
    <row r="51" spans="3:50" ht="52.2" x14ac:dyDescent="0.3">
      <c r="C51" s="89" t="s">
        <v>7</v>
      </c>
      <c r="D51" s="21" t="s">
        <v>298</v>
      </c>
      <c r="E51" s="21" t="s">
        <v>312</v>
      </c>
      <c r="F51" s="21" t="s">
        <v>88</v>
      </c>
      <c r="G51" s="21" t="s">
        <v>89</v>
      </c>
      <c r="H51" s="21" t="s">
        <v>262</v>
      </c>
      <c r="I51" s="77">
        <v>110043</v>
      </c>
      <c r="J51" s="12" t="s">
        <v>193</v>
      </c>
      <c r="K51" s="12" t="s">
        <v>193</v>
      </c>
      <c r="L51" s="12" t="s">
        <v>193</v>
      </c>
      <c r="M51" s="44">
        <v>46111</v>
      </c>
      <c r="N51" s="45">
        <v>46142</v>
      </c>
      <c r="O51" s="12"/>
      <c r="P51" s="12" t="s">
        <v>270</v>
      </c>
      <c r="Q51" s="12" t="s">
        <v>193</v>
      </c>
      <c r="R51" s="12" t="s">
        <v>193</v>
      </c>
      <c r="S51" s="12"/>
      <c r="T51" s="12" t="s">
        <v>194</v>
      </c>
      <c r="U51" s="12"/>
      <c r="V51" s="74"/>
      <c r="W51" s="12"/>
      <c r="X51" s="58"/>
      <c r="Y51" s="12"/>
      <c r="Z51" s="12"/>
      <c r="AA51" s="12"/>
      <c r="AB51" s="12"/>
      <c r="AC51" s="11">
        <v>2</v>
      </c>
      <c r="AD51" s="11">
        <v>4</v>
      </c>
      <c r="AE51" s="11">
        <v>6</v>
      </c>
      <c r="AF51" s="11"/>
      <c r="AG51" s="11"/>
      <c r="AH51" s="68">
        <v>0</v>
      </c>
      <c r="AI51" s="12" t="s">
        <v>194</v>
      </c>
      <c r="AJ51" s="12" t="s">
        <v>194</v>
      </c>
      <c r="AK51" s="12" t="s">
        <v>194</v>
      </c>
      <c r="AL51" s="12" t="s">
        <v>194</v>
      </c>
      <c r="AM51" s="12" t="s">
        <v>194</v>
      </c>
      <c r="AN51" s="11">
        <v>0</v>
      </c>
      <c r="AO51" s="12" t="s">
        <v>194</v>
      </c>
      <c r="AP51" s="12" t="s">
        <v>194</v>
      </c>
      <c r="AQ51" s="12" t="s">
        <v>194</v>
      </c>
      <c r="AR51" s="12" t="s">
        <v>194</v>
      </c>
      <c r="AS51" s="12"/>
      <c r="AT51" s="12"/>
      <c r="AU51" s="12"/>
      <c r="AV51" s="11"/>
      <c r="AW51" s="11"/>
      <c r="AX51" s="34" t="s">
        <v>16</v>
      </c>
    </row>
    <row r="52" spans="3:50" ht="69.599999999999994" x14ac:dyDescent="0.3">
      <c r="C52" s="87" t="s">
        <v>4</v>
      </c>
      <c r="D52" s="19" t="s">
        <v>303</v>
      </c>
      <c r="E52" s="19" t="s">
        <v>94</v>
      </c>
      <c r="F52" s="32" t="s">
        <v>100</v>
      </c>
      <c r="G52" s="19" t="s">
        <v>89</v>
      </c>
      <c r="H52" s="32" t="s">
        <v>275</v>
      </c>
      <c r="I52" s="77">
        <v>16017</v>
      </c>
      <c r="J52" s="12" t="s">
        <v>193</v>
      </c>
      <c r="K52" s="12" t="s">
        <v>193</v>
      </c>
      <c r="L52" s="12" t="s">
        <v>193</v>
      </c>
      <c r="M52" s="36">
        <v>46111</v>
      </c>
      <c r="N52" s="37">
        <v>46142</v>
      </c>
      <c r="O52" s="12"/>
      <c r="P52" s="12"/>
      <c r="Q52" s="12"/>
      <c r="R52" s="12" t="s">
        <v>193</v>
      </c>
      <c r="S52" s="12"/>
      <c r="T52" s="12" t="s">
        <v>194</v>
      </c>
      <c r="U52" s="12"/>
      <c r="V52" s="74"/>
      <c r="W52" s="12"/>
      <c r="X52" s="52"/>
      <c r="Y52" s="12"/>
      <c r="Z52" s="12"/>
      <c r="AA52" s="12"/>
      <c r="AB52" s="12"/>
      <c r="AC52" s="11" t="s">
        <v>266</v>
      </c>
      <c r="AD52" s="11"/>
      <c r="AE52" s="11"/>
      <c r="AF52" s="11"/>
      <c r="AG52" s="11"/>
      <c r="AH52" s="11"/>
      <c r="AI52" s="12" t="s">
        <v>194</v>
      </c>
      <c r="AJ52" s="12" t="s">
        <v>194</v>
      </c>
      <c r="AK52" s="12" t="s">
        <v>194</v>
      </c>
      <c r="AL52" s="12" t="s">
        <v>194</v>
      </c>
      <c r="AM52" s="12" t="s">
        <v>194</v>
      </c>
      <c r="AN52" s="11">
        <v>0</v>
      </c>
      <c r="AO52" s="12"/>
      <c r="AP52" s="12"/>
      <c r="AQ52" s="12"/>
      <c r="AR52" s="12" t="s">
        <v>194</v>
      </c>
      <c r="AS52" s="12"/>
      <c r="AT52" s="12"/>
      <c r="AU52" s="12"/>
      <c r="AV52" s="11"/>
      <c r="AW52" s="11"/>
      <c r="AX52" s="34" t="s">
        <v>16</v>
      </c>
    </row>
    <row r="53" spans="3:50" ht="69.599999999999994" x14ac:dyDescent="0.3">
      <c r="C53" s="87" t="s">
        <v>4</v>
      </c>
      <c r="D53" s="19" t="s">
        <v>303</v>
      </c>
      <c r="E53" s="19" t="s">
        <v>94</v>
      </c>
      <c r="F53" s="32" t="s">
        <v>100</v>
      </c>
      <c r="G53" s="19" t="s">
        <v>89</v>
      </c>
      <c r="H53" s="32" t="s">
        <v>265</v>
      </c>
      <c r="I53" s="77">
        <v>103752</v>
      </c>
      <c r="J53" s="12" t="s">
        <v>193</v>
      </c>
      <c r="K53" s="12" t="s">
        <v>193</v>
      </c>
      <c r="L53" s="12" t="s">
        <v>193</v>
      </c>
      <c r="M53" s="36">
        <v>46111</v>
      </c>
      <c r="N53" s="37">
        <v>46142</v>
      </c>
      <c r="O53" s="12"/>
      <c r="P53" s="12"/>
      <c r="Q53" s="12"/>
      <c r="R53" s="12" t="s">
        <v>193</v>
      </c>
      <c r="S53" s="12"/>
      <c r="T53" s="12" t="s">
        <v>194</v>
      </c>
      <c r="U53" s="12"/>
      <c r="V53" s="74"/>
      <c r="W53" s="12"/>
      <c r="X53" s="52"/>
      <c r="Y53" s="12"/>
      <c r="Z53" s="12"/>
      <c r="AA53" s="12"/>
      <c r="AB53" s="12"/>
      <c r="AC53" s="11" t="s">
        <v>266</v>
      </c>
      <c r="AD53" s="11"/>
      <c r="AE53" s="11"/>
      <c r="AF53" s="11"/>
      <c r="AG53" s="11"/>
      <c r="AH53" s="11"/>
      <c r="AI53" s="12" t="s">
        <v>194</v>
      </c>
      <c r="AJ53" s="12" t="s">
        <v>194</v>
      </c>
      <c r="AK53" s="12" t="s">
        <v>194</v>
      </c>
      <c r="AL53" s="12" t="s">
        <v>194</v>
      </c>
      <c r="AM53" s="12" t="s">
        <v>194</v>
      </c>
      <c r="AN53" s="11">
        <v>0</v>
      </c>
      <c r="AO53" s="12"/>
      <c r="AP53" s="12"/>
      <c r="AQ53" s="12"/>
      <c r="AR53" s="12" t="s">
        <v>194</v>
      </c>
      <c r="AS53" s="12"/>
      <c r="AT53" s="12"/>
      <c r="AU53" s="12"/>
      <c r="AV53" s="11"/>
      <c r="AW53" s="11"/>
      <c r="AX53" s="34" t="s">
        <v>16</v>
      </c>
    </row>
    <row r="54" spans="3:50" ht="69.599999999999994" x14ac:dyDescent="0.3">
      <c r="C54" s="87" t="s">
        <v>4</v>
      </c>
      <c r="D54" s="19" t="s">
        <v>303</v>
      </c>
      <c r="E54" s="19" t="s">
        <v>94</v>
      </c>
      <c r="F54" s="32" t="s">
        <v>88</v>
      </c>
      <c r="G54" s="19" t="s">
        <v>89</v>
      </c>
      <c r="H54" s="32" t="s">
        <v>262</v>
      </c>
      <c r="I54" s="77">
        <v>110286</v>
      </c>
      <c r="J54" s="12" t="s">
        <v>193</v>
      </c>
      <c r="K54" s="12" t="s">
        <v>193</v>
      </c>
      <c r="L54" s="12" t="s">
        <v>193</v>
      </c>
      <c r="M54" s="36">
        <v>46111</v>
      </c>
      <c r="N54" s="37">
        <v>46142</v>
      </c>
      <c r="O54" s="12"/>
      <c r="P54" s="12" t="s">
        <v>270</v>
      </c>
      <c r="Q54" s="12" t="s">
        <v>193</v>
      </c>
      <c r="R54" s="12" t="s">
        <v>193</v>
      </c>
      <c r="S54" s="12"/>
      <c r="T54" s="12" t="s">
        <v>194</v>
      </c>
      <c r="U54" s="12"/>
      <c r="V54" s="74"/>
      <c r="W54" s="12"/>
      <c r="X54" s="52"/>
      <c r="Y54" s="12"/>
      <c r="Z54" s="12"/>
      <c r="AA54" s="12"/>
      <c r="AB54" s="12"/>
      <c r="AC54" s="11"/>
      <c r="AD54" s="11"/>
      <c r="AE54" s="11"/>
      <c r="AF54" s="11"/>
      <c r="AG54" s="11"/>
      <c r="AH54" s="68">
        <v>1</v>
      </c>
      <c r="AI54" s="12" t="s">
        <v>194</v>
      </c>
      <c r="AJ54" s="12" t="s">
        <v>194</v>
      </c>
      <c r="AK54" s="12" t="s">
        <v>194</v>
      </c>
      <c r="AL54" s="12" t="s">
        <v>194</v>
      </c>
      <c r="AM54" s="12" t="s">
        <v>194</v>
      </c>
      <c r="AN54" s="11">
        <v>0</v>
      </c>
      <c r="AO54" s="12" t="s">
        <v>194</v>
      </c>
      <c r="AP54" s="12" t="s">
        <v>194</v>
      </c>
      <c r="AQ54" s="12" t="s">
        <v>194</v>
      </c>
      <c r="AR54" s="12" t="s">
        <v>194</v>
      </c>
      <c r="AS54" s="12"/>
      <c r="AT54" s="12"/>
      <c r="AU54" s="12"/>
      <c r="AV54" s="11"/>
      <c r="AW54" s="11"/>
      <c r="AX54" s="34" t="s">
        <v>16</v>
      </c>
    </row>
    <row r="55" spans="3:50" ht="52.2" x14ac:dyDescent="0.3">
      <c r="C55" s="89" t="s">
        <v>7</v>
      </c>
      <c r="D55" s="21" t="s">
        <v>289</v>
      </c>
      <c r="E55" s="21" t="s">
        <v>313</v>
      </c>
      <c r="F55" s="21" t="s">
        <v>100</v>
      </c>
      <c r="G55" s="21" t="s">
        <v>101</v>
      </c>
      <c r="H55" s="21" t="s">
        <v>275</v>
      </c>
      <c r="I55" s="77">
        <v>53237</v>
      </c>
      <c r="J55" s="12" t="s">
        <v>193</v>
      </c>
      <c r="K55" s="12" t="s">
        <v>193</v>
      </c>
      <c r="L55" s="12" t="s">
        <v>193</v>
      </c>
      <c r="M55" s="44">
        <v>46172</v>
      </c>
      <c r="N55" s="45">
        <v>46203</v>
      </c>
      <c r="O55" s="12"/>
      <c r="P55" s="12"/>
      <c r="Q55" s="12"/>
      <c r="R55" s="12" t="s">
        <v>193</v>
      </c>
      <c r="S55" s="12"/>
      <c r="T55" s="12" t="s">
        <v>194</v>
      </c>
      <c r="U55" s="12"/>
      <c r="V55" s="74"/>
      <c r="W55" s="12"/>
      <c r="X55" s="58"/>
      <c r="Y55" s="12"/>
      <c r="Z55" s="12"/>
      <c r="AA55" s="12"/>
      <c r="AB55" s="12"/>
      <c r="AC55" s="11" t="s">
        <v>266</v>
      </c>
      <c r="AD55" s="11"/>
      <c r="AE55" s="11"/>
      <c r="AF55" s="11"/>
      <c r="AG55" s="11"/>
      <c r="AH55" s="11"/>
      <c r="AI55" s="12"/>
      <c r="AJ55" s="12"/>
      <c r="AK55" s="12"/>
      <c r="AL55" s="12"/>
      <c r="AM55" s="12"/>
      <c r="AN55" s="11"/>
      <c r="AO55" s="12"/>
      <c r="AP55" s="12"/>
      <c r="AQ55" s="12"/>
      <c r="AR55" s="12" t="s">
        <v>194</v>
      </c>
      <c r="AS55" s="12"/>
      <c r="AT55" s="12"/>
      <c r="AU55" s="12"/>
      <c r="AV55" s="11"/>
      <c r="AW55" s="11"/>
      <c r="AX55" s="34" t="s">
        <v>16</v>
      </c>
    </row>
    <row r="56" spans="3:50" ht="52.2" x14ac:dyDescent="0.3">
      <c r="C56" s="88" t="s">
        <v>10</v>
      </c>
      <c r="D56" s="20" t="s">
        <v>284</v>
      </c>
      <c r="E56" s="20" t="s">
        <v>314</v>
      </c>
      <c r="F56" s="20" t="s">
        <v>88</v>
      </c>
      <c r="G56" s="20" t="s">
        <v>95</v>
      </c>
      <c r="H56" s="20" t="s">
        <v>262</v>
      </c>
      <c r="I56" s="77">
        <v>116661</v>
      </c>
      <c r="J56" s="12" t="s">
        <v>193</v>
      </c>
      <c r="K56" s="12" t="s">
        <v>193</v>
      </c>
      <c r="L56" s="12" t="s">
        <v>193</v>
      </c>
      <c r="M56" s="48" t="s">
        <v>315</v>
      </c>
      <c r="N56" s="49" t="s">
        <v>315</v>
      </c>
      <c r="O56" s="12"/>
      <c r="P56" s="12" t="s">
        <v>270</v>
      </c>
      <c r="Q56" s="12" t="s">
        <v>193</v>
      </c>
      <c r="R56" s="12" t="s">
        <v>193</v>
      </c>
      <c r="S56" s="12"/>
      <c r="T56" s="12" t="s">
        <v>194</v>
      </c>
      <c r="U56" s="12"/>
      <c r="V56" s="74"/>
      <c r="W56" s="12"/>
      <c r="X56" s="62"/>
      <c r="Y56" s="12"/>
      <c r="Z56" s="12"/>
      <c r="AA56" s="12"/>
      <c r="AB56" s="12"/>
      <c r="AC56" s="11"/>
      <c r="AD56" s="11"/>
      <c r="AE56" s="11"/>
      <c r="AF56" s="11"/>
      <c r="AG56" s="11"/>
      <c r="AH56" s="68">
        <v>1</v>
      </c>
      <c r="AI56" s="12"/>
      <c r="AJ56" s="12"/>
      <c r="AK56" s="12"/>
      <c r="AL56" s="12"/>
      <c r="AM56" s="12"/>
      <c r="AN56" s="11"/>
      <c r="AO56" s="12" t="s">
        <v>193</v>
      </c>
      <c r="AP56" s="12" t="s">
        <v>193</v>
      </c>
      <c r="AQ56" s="12" t="s">
        <v>193</v>
      </c>
      <c r="AR56" s="12" t="s">
        <v>194</v>
      </c>
      <c r="AS56" s="12"/>
      <c r="AT56" s="12"/>
      <c r="AU56" s="12"/>
      <c r="AV56" s="11"/>
      <c r="AW56" s="11"/>
      <c r="AX56" s="34" t="s">
        <v>13</v>
      </c>
    </row>
    <row r="57" spans="3:50" ht="52.2" x14ac:dyDescent="0.3">
      <c r="C57" s="88" t="s">
        <v>10</v>
      </c>
      <c r="D57" s="20" t="s">
        <v>278</v>
      </c>
      <c r="E57" s="20" t="s">
        <v>316</v>
      </c>
      <c r="F57" s="20" t="s">
        <v>88</v>
      </c>
      <c r="G57" s="20" t="s">
        <v>103</v>
      </c>
      <c r="H57" s="20" t="s">
        <v>262</v>
      </c>
      <c r="I57" s="77">
        <v>91501</v>
      </c>
      <c r="J57" s="12" t="s">
        <v>193</v>
      </c>
      <c r="K57" s="12" t="s">
        <v>193</v>
      </c>
      <c r="L57" s="12" t="s">
        <v>193</v>
      </c>
      <c r="M57" s="48" t="s">
        <v>315</v>
      </c>
      <c r="N57" s="49" t="s">
        <v>315</v>
      </c>
      <c r="O57" s="12"/>
      <c r="P57" s="12" t="s">
        <v>270</v>
      </c>
      <c r="Q57" s="12" t="s">
        <v>193</v>
      </c>
      <c r="R57" s="12" t="s">
        <v>193</v>
      </c>
      <c r="S57" s="12"/>
      <c r="T57" s="12" t="s">
        <v>192</v>
      </c>
      <c r="U57" s="12"/>
      <c r="V57" s="74"/>
      <c r="W57" s="12"/>
      <c r="X57" s="62"/>
      <c r="Y57" s="12"/>
      <c r="Z57" s="12"/>
      <c r="AA57" s="12"/>
      <c r="AB57" s="12"/>
      <c r="AC57" s="11">
        <v>0</v>
      </c>
      <c r="AD57" s="11">
        <v>2</v>
      </c>
      <c r="AE57" s="11">
        <v>2</v>
      </c>
      <c r="AF57" s="11"/>
      <c r="AG57" s="11"/>
      <c r="AH57" s="68">
        <v>1</v>
      </c>
      <c r="AI57" s="12"/>
      <c r="AJ57" s="12"/>
      <c r="AK57" s="12"/>
      <c r="AL57" s="12"/>
      <c r="AM57" s="12"/>
      <c r="AN57" s="11"/>
      <c r="AO57" s="12" t="s">
        <v>192</v>
      </c>
      <c r="AP57" s="12" t="s">
        <v>193</v>
      </c>
      <c r="AQ57" s="12" t="s">
        <v>193</v>
      </c>
      <c r="AR57" s="12" t="s">
        <v>194</v>
      </c>
      <c r="AS57" s="12"/>
      <c r="AT57" s="12"/>
      <c r="AU57" s="12"/>
      <c r="AV57" s="11"/>
      <c r="AW57" s="11"/>
      <c r="AX57" s="34" t="s">
        <v>13</v>
      </c>
    </row>
    <row r="58" spans="3:50" ht="69.599999999999994" x14ac:dyDescent="0.3">
      <c r="C58" s="88" t="s">
        <v>10</v>
      </c>
      <c r="D58" s="20" t="s">
        <v>278</v>
      </c>
      <c r="E58" s="20" t="s">
        <v>317</v>
      </c>
      <c r="F58" s="20" t="s">
        <v>100</v>
      </c>
      <c r="G58" s="20" t="s">
        <v>103</v>
      </c>
      <c r="H58" s="20" t="s">
        <v>275</v>
      </c>
      <c r="I58" s="77">
        <v>101288</v>
      </c>
      <c r="J58" s="12" t="s">
        <v>193</v>
      </c>
      <c r="K58" s="12" t="s">
        <v>193</v>
      </c>
      <c r="L58" s="12" t="s">
        <v>193</v>
      </c>
      <c r="M58" s="48" t="s">
        <v>315</v>
      </c>
      <c r="N58" s="49" t="s">
        <v>315</v>
      </c>
      <c r="O58" s="12"/>
      <c r="P58" s="12"/>
      <c r="Q58" s="12"/>
      <c r="R58" s="12" t="s">
        <v>193</v>
      </c>
      <c r="S58" s="12"/>
      <c r="T58" s="12" t="s">
        <v>194</v>
      </c>
      <c r="U58" s="12"/>
      <c r="V58" s="74"/>
      <c r="W58" s="12"/>
      <c r="X58" s="62"/>
      <c r="Y58" s="12"/>
      <c r="Z58" s="12"/>
      <c r="AA58" s="12"/>
      <c r="AB58" s="12"/>
      <c r="AC58" s="11" t="s">
        <v>266</v>
      </c>
      <c r="AD58" s="11"/>
      <c r="AE58" s="11"/>
      <c r="AF58" s="11"/>
      <c r="AG58" s="11"/>
      <c r="AH58" s="11"/>
      <c r="AI58" s="12"/>
      <c r="AJ58" s="12"/>
      <c r="AK58" s="12"/>
      <c r="AL58" s="12"/>
      <c r="AM58" s="12"/>
      <c r="AN58" s="11"/>
      <c r="AO58" s="12"/>
      <c r="AP58" s="12"/>
      <c r="AQ58" s="12"/>
      <c r="AR58" s="12" t="s">
        <v>194</v>
      </c>
      <c r="AS58" s="12"/>
      <c r="AT58" s="12"/>
      <c r="AU58" s="12"/>
      <c r="AV58" s="11"/>
      <c r="AW58" s="11"/>
      <c r="AX58" s="34" t="s">
        <v>16</v>
      </c>
    </row>
    <row r="59" spans="3:50" ht="52.2" x14ac:dyDescent="0.3">
      <c r="C59" s="89" t="s">
        <v>7</v>
      </c>
      <c r="D59" s="21" t="s">
        <v>287</v>
      </c>
      <c r="E59" s="21" t="s">
        <v>318</v>
      </c>
      <c r="F59" s="21" t="s">
        <v>100</v>
      </c>
      <c r="G59" s="21" t="s">
        <v>103</v>
      </c>
      <c r="H59" s="21" t="s">
        <v>275</v>
      </c>
      <c r="I59" s="77">
        <v>91502</v>
      </c>
      <c r="J59" s="12" t="s">
        <v>193</v>
      </c>
      <c r="K59" s="12" t="s">
        <v>193</v>
      </c>
      <c r="L59" s="12" t="s">
        <v>193</v>
      </c>
      <c r="M59" s="46" t="s">
        <v>315</v>
      </c>
      <c r="N59" s="50" t="s">
        <v>315</v>
      </c>
      <c r="O59" s="12"/>
      <c r="P59" s="12"/>
      <c r="Q59" s="12"/>
      <c r="R59" s="12" t="s">
        <v>193</v>
      </c>
      <c r="S59" s="12"/>
      <c r="T59" s="12" t="s">
        <v>194</v>
      </c>
      <c r="U59" s="12"/>
      <c r="V59" s="74"/>
      <c r="W59" s="12"/>
      <c r="X59" s="63"/>
      <c r="Y59" s="12"/>
      <c r="Z59" s="12"/>
      <c r="AA59" s="12"/>
      <c r="AB59" s="12"/>
      <c r="AC59" s="11" t="s">
        <v>266</v>
      </c>
      <c r="AD59" s="11"/>
      <c r="AE59" s="11"/>
      <c r="AF59" s="11"/>
      <c r="AG59" s="11"/>
      <c r="AH59" s="11"/>
      <c r="AI59" s="12"/>
      <c r="AJ59" s="12"/>
      <c r="AK59" s="12"/>
      <c r="AL59" s="12"/>
      <c r="AM59" s="12"/>
      <c r="AN59" s="11"/>
      <c r="AO59" s="12"/>
      <c r="AP59" s="12"/>
      <c r="AQ59" s="12"/>
      <c r="AR59" s="12" t="s">
        <v>194</v>
      </c>
      <c r="AS59" s="12"/>
      <c r="AT59" s="12"/>
      <c r="AU59" s="12"/>
      <c r="AV59" s="11"/>
      <c r="AW59" s="11"/>
      <c r="AX59" s="35" t="s">
        <v>13</v>
      </c>
    </row>
    <row r="60" spans="3:50" ht="52.2" x14ac:dyDescent="0.3">
      <c r="C60" s="89" t="s">
        <v>7</v>
      </c>
      <c r="D60" s="21" t="s">
        <v>289</v>
      </c>
      <c r="E60" s="21" t="s">
        <v>319</v>
      </c>
      <c r="F60" s="21" t="s">
        <v>100</v>
      </c>
      <c r="G60" s="21" t="s">
        <v>89</v>
      </c>
      <c r="H60" s="21" t="s">
        <v>275</v>
      </c>
      <c r="I60" s="77">
        <v>107852</v>
      </c>
      <c r="J60" s="12" t="s">
        <v>193</v>
      </c>
      <c r="K60" s="12" t="s">
        <v>193</v>
      </c>
      <c r="L60" s="12" t="s">
        <v>193</v>
      </c>
      <c r="M60" s="46" t="s">
        <v>315</v>
      </c>
      <c r="N60" s="50" t="s">
        <v>315</v>
      </c>
      <c r="O60" s="12"/>
      <c r="P60" s="12"/>
      <c r="Q60" s="12"/>
      <c r="R60" s="12" t="s">
        <v>193</v>
      </c>
      <c r="S60" s="12"/>
      <c r="T60" s="12" t="s">
        <v>194</v>
      </c>
      <c r="U60" s="12"/>
      <c r="V60" s="74"/>
      <c r="W60" s="12"/>
      <c r="X60" s="63"/>
      <c r="Y60" s="12"/>
      <c r="Z60" s="12"/>
      <c r="AA60" s="12"/>
      <c r="AB60" s="12"/>
      <c r="AC60" s="11" t="s">
        <v>266</v>
      </c>
      <c r="AD60" s="11"/>
      <c r="AE60" s="11"/>
      <c r="AF60" s="11"/>
      <c r="AG60" s="11"/>
      <c r="AH60" s="11"/>
      <c r="AI60" s="12"/>
      <c r="AJ60" s="12"/>
      <c r="AK60" s="12"/>
      <c r="AL60" s="12"/>
      <c r="AM60" s="12"/>
      <c r="AN60" s="11"/>
      <c r="AO60" s="12"/>
      <c r="AP60" s="12"/>
      <c r="AQ60" s="12"/>
      <c r="AR60" s="12" t="s">
        <v>194</v>
      </c>
      <c r="AS60" s="12"/>
      <c r="AT60" s="12"/>
      <c r="AU60" s="12"/>
      <c r="AV60" s="11"/>
      <c r="AW60" s="11"/>
      <c r="AX60" s="34" t="s">
        <v>16</v>
      </c>
    </row>
    <row r="61" spans="3:50" ht="52.2" x14ac:dyDescent="0.3">
      <c r="C61" s="89" t="s">
        <v>7</v>
      </c>
      <c r="D61" s="21" t="s">
        <v>289</v>
      </c>
      <c r="E61" s="21" t="s">
        <v>290</v>
      </c>
      <c r="F61" s="21" t="s">
        <v>100</v>
      </c>
      <c r="G61" s="21" t="s">
        <v>89</v>
      </c>
      <c r="H61" s="21" t="s">
        <v>265</v>
      </c>
      <c r="I61" s="77">
        <v>102630</v>
      </c>
      <c r="J61" s="12" t="s">
        <v>193</v>
      </c>
      <c r="K61" s="12" t="s">
        <v>193</v>
      </c>
      <c r="L61" s="12" t="s">
        <v>193</v>
      </c>
      <c r="M61" s="46" t="s">
        <v>315</v>
      </c>
      <c r="N61" s="50" t="s">
        <v>315</v>
      </c>
      <c r="O61" s="12"/>
      <c r="P61" s="12"/>
      <c r="Q61" s="12"/>
      <c r="R61" s="12" t="s">
        <v>193</v>
      </c>
      <c r="S61" s="12"/>
      <c r="T61" s="12" t="s">
        <v>194</v>
      </c>
      <c r="U61" s="12"/>
      <c r="V61" s="74"/>
      <c r="W61" s="12"/>
      <c r="X61" s="63"/>
      <c r="Y61" s="12"/>
      <c r="Z61" s="12"/>
      <c r="AA61" s="12"/>
      <c r="AB61" s="12"/>
      <c r="AC61" s="11" t="s">
        <v>266</v>
      </c>
      <c r="AD61" s="11"/>
      <c r="AE61" s="11"/>
      <c r="AF61" s="11"/>
      <c r="AG61" s="11"/>
      <c r="AH61" s="11"/>
      <c r="AI61" s="12" t="s">
        <v>194</v>
      </c>
      <c r="AJ61" s="12" t="s">
        <v>194</v>
      </c>
      <c r="AK61" s="12" t="s">
        <v>194</v>
      </c>
      <c r="AL61" s="12" t="s">
        <v>194</v>
      </c>
      <c r="AM61" s="12" t="s">
        <v>194</v>
      </c>
      <c r="AN61" s="11">
        <v>0</v>
      </c>
      <c r="AO61" s="12"/>
      <c r="AP61" s="12"/>
      <c r="AQ61" s="12"/>
      <c r="AR61" s="12" t="s">
        <v>194</v>
      </c>
      <c r="AS61" s="12"/>
      <c r="AT61" s="12"/>
      <c r="AU61" s="12"/>
      <c r="AV61" s="11"/>
      <c r="AW61" s="11"/>
      <c r="AX61" s="32" t="s">
        <v>15</v>
      </c>
    </row>
    <row r="62" spans="3:50" ht="52.2" x14ac:dyDescent="0.3">
      <c r="C62" s="87" t="s">
        <v>4</v>
      </c>
      <c r="D62" s="19" t="s">
        <v>263</v>
      </c>
      <c r="E62" s="19" t="s">
        <v>46</v>
      </c>
      <c r="F62" s="19" t="s">
        <v>88</v>
      </c>
      <c r="G62" s="19" t="s">
        <v>89</v>
      </c>
      <c r="H62" s="19" t="s">
        <v>262</v>
      </c>
      <c r="I62" s="77">
        <v>109274</v>
      </c>
      <c r="J62" s="12" t="s">
        <v>193</v>
      </c>
      <c r="K62" s="12" t="s">
        <v>193</v>
      </c>
      <c r="L62" s="12" t="s">
        <v>193</v>
      </c>
      <c r="M62" s="47" t="s">
        <v>315</v>
      </c>
      <c r="N62" s="37" t="s">
        <v>315</v>
      </c>
      <c r="O62" s="12"/>
      <c r="P62" s="12" t="s">
        <v>270</v>
      </c>
      <c r="Q62" s="12" t="s">
        <v>193</v>
      </c>
      <c r="R62" s="12" t="s">
        <v>193</v>
      </c>
      <c r="S62" s="12"/>
      <c r="T62" s="12" t="s">
        <v>193</v>
      </c>
      <c r="U62" s="12"/>
      <c r="V62" s="74"/>
      <c r="W62" s="12"/>
      <c r="X62" s="52"/>
      <c r="Y62" s="12"/>
      <c r="Z62" s="12"/>
      <c r="AA62" s="12"/>
      <c r="AB62" s="12"/>
      <c r="AC62" s="11">
        <v>3</v>
      </c>
      <c r="AD62" s="11">
        <v>10</v>
      </c>
      <c r="AE62" s="11">
        <v>13</v>
      </c>
      <c r="AF62" s="11"/>
      <c r="AG62" s="11"/>
      <c r="AH62" s="68">
        <v>0.1</v>
      </c>
      <c r="AI62" s="12"/>
      <c r="AJ62" s="12"/>
      <c r="AK62" s="12"/>
      <c r="AL62" s="12"/>
      <c r="AM62" s="12"/>
      <c r="AN62" s="11"/>
      <c r="AO62" s="12" t="s">
        <v>194</v>
      </c>
      <c r="AP62" s="12" t="s">
        <v>194</v>
      </c>
      <c r="AQ62" s="12" t="s">
        <v>194</v>
      </c>
      <c r="AR62" s="12" t="s">
        <v>194</v>
      </c>
      <c r="AS62" s="12"/>
      <c r="AT62" s="12"/>
      <c r="AU62" s="12"/>
      <c r="AV62" s="11"/>
      <c r="AW62" s="11"/>
      <c r="AX62" s="34" t="s">
        <v>16</v>
      </c>
    </row>
    <row r="63" spans="3:50" ht="52.2" x14ac:dyDescent="0.3">
      <c r="C63" s="87" t="s">
        <v>4</v>
      </c>
      <c r="D63" s="19" t="s">
        <v>269</v>
      </c>
      <c r="E63" s="19" t="s">
        <v>320</v>
      </c>
      <c r="F63" s="32" t="s">
        <v>100</v>
      </c>
      <c r="G63" s="19" t="s">
        <v>95</v>
      </c>
      <c r="H63" s="32" t="s">
        <v>275</v>
      </c>
      <c r="I63" s="77">
        <v>111589</v>
      </c>
      <c r="J63" s="12" t="s">
        <v>193</v>
      </c>
      <c r="K63" s="12" t="s">
        <v>193</v>
      </c>
      <c r="L63" s="12" t="s">
        <v>193</v>
      </c>
      <c r="M63" s="47" t="s">
        <v>315</v>
      </c>
      <c r="N63" s="51" t="s">
        <v>315</v>
      </c>
      <c r="O63" s="12"/>
      <c r="P63" s="12"/>
      <c r="Q63" s="12"/>
      <c r="R63" s="12" t="s">
        <v>193</v>
      </c>
      <c r="S63" s="12"/>
      <c r="T63" s="12" t="s">
        <v>194</v>
      </c>
      <c r="U63" s="12"/>
      <c r="V63" s="74"/>
      <c r="W63" s="12"/>
      <c r="X63" s="64"/>
      <c r="Y63" s="12"/>
      <c r="Z63" s="12"/>
      <c r="AA63" s="12"/>
      <c r="AB63" s="12"/>
      <c r="AC63" s="11" t="s">
        <v>266</v>
      </c>
      <c r="AD63" s="11"/>
      <c r="AE63" s="11"/>
      <c r="AF63" s="11"/>
      <c r="AG63" s="11"/>
      <c r="AH63" s="11"/>
      <c r="AI63" s="12"/>
      <c r="AJ63" s="12"/>
      <c r="AK63" s="12"/>
      <c r="AL63" s="12"/>
      <c r="AM63" s="12"/>
      <c r="AN63" s="11"/>
      <c r="AO63" s="12"/>
      <c r="AP63" s="12"/>
      <c r="AQ63" s="12"/>
      <c r="AR63" s="12" t="s">
        <v>194</v>
      </c>
      <c r="AS63" s="12"/>
      <c r="AT63" s="12"/>
      <c r="AU63" s="12"/>
      <c r="AV63" s="11"/>
      <c r="AW63" s="11"/>
      <c r="AX63" s="32" t="s">
        <v>13</v>
      </c>
    </row>
    <row r="64" spans="3:50" ht="52.2" x14ac:dyDescent="0.3">
      <c r="C64" s="87" t="s">
        <v>4</v>
      </c>
      <c r="D64" s="19" t="s">
        <v>293</v>
      </c>
      <c r="E64" s="19" t="s">
        <v>321</v>
      </c>
      <c r="F64" s="32" t="s">
        <v>88</v>
      </c>
      <c r="G64" s="19" t="s">
        <v>89</v>
      </c>
      <c r="H64" s="32" t="s">
        <v>262</v>
      </c>
      <c r="I64" s="77">
        <v>101660</v>
      </c>
      <c r="J64" s="12" t="s">
        <v>193</v>
      </c>
      <c r="K64" s="12" t="s">
        <v>193</v>
      </c>
      <c r="L64" s="12" t="s">
        <v>193</v>
      </c>
      <c r="M64" s="47" t="s">
        <v>315</v>
      </c>
      <c r="N64" s="37" t="s">
        <v>315</v>
      </c>
      <c r="O64" s="12"/>
      <c r="P64" s="12" t="s">
        <v>270</v>
      </c>
      <c r="Q64" s="12" t="s">
        <v>193</v>
      </c>
      <c r="R64" s="12" t="s">
        <v>193</v>
      </c>
      <c r="S64" s="12"/>
      <c r="T64" s="12" t="s">
        <v>193</v>
      </c>
      <c r="U64" s="12"/>
      <c r="V64" s="74"/>
      <c r="W64" s="12"/>
      <c r="X64" s="52"/>
      <c r="Y64" s="12"/>
      <c r="Z64" s="12"/>
      <c r="AA64" s="12"/>
      <c r="AB64" s="12"/>
      <c r="AC64" s="11">
        <v>1</v>
      </c>
      <c r="AD64" s="11">
        <v>6</v>
      </c>
      <c r="AE64" s="11">
        <v>7</v>
      </c>
      <c r="AF64" s="11"/>
      <c r="AG64" s="11"/>
      <c r="AH64" s="68">
        <v>0.98</v>
      </c>
      <c r="AI64" s="12" t="s">
        <v>194</v>
      </c>
      <c r="AJ64" s="12" t="s">
        <v>194</v>
      </c>
      <c r="AK64" s="12" t="s">
        <v>194</v>
      </c>
      <c r="AL64" s="12" t="s">
        <v>194</v>
      </c>
      <c r="AM64" s="12" t="s">
        <v>194</v>
      </c>
      <c r="AN64" s="11">
        <v>0</v>
      </c>
      <c r="AO64" s="12" t="s">
        <v>192</v>
      </c>
      <c r="AP64" s="12" t="s">
        <v>194</v>
      </c>
      <c r="AQ64" s="12" t="s">
        <v>194</v>
      </c>
      <c r="AR64" s="12" t="s">
        <v>194</v>
      </c>
      <c r="AS64" s="12"/>
      <c r="AT64" s="12"/>
      <c r="AU64" s="12"/>
      <c r="AV64" s="11"/>
      <c r="AW64" s="11"/>
      <c r="AX64" s="32" t="s">
        <v>15</v>
      </c>
    </row>
    <row r="65" spans="3:50" ht="69.599999999999994" x14ac:dyDescent="0.3">
      <c r="C65" s="87" t="s">
        <v>4</v>
      </c>
      <c r="D65" s="19" t="s">
        <v>303</v>
      </c>
      <c r="E65" s="19" t="s">
        <v>322</v>
      </c>
      <c r="F65" s="32" t="s">
        <v>88</v>
      </c>
      <c r="G65" s="19" t="s">
        <v>95</v>
      </c>
      <c r="H65" s="32" t="s">
        <v>262</v>
      </c>
      <c r="I65" s="77">
        <v>110642</v>
      </c>
      <c r="J65" s="12" t="s">
        <v>193</v>
      </c>
      <c r="K65" s="12" t="s">
        <v>193</v>
      </c>
      <c r="L65" s="12" t="s">
        <v>193</v>
      </c>
      <c r="M65" s="47" t="s">
        <v>315</v>
      </c>
      <c r="N65" s="37" t="s">
        <v>315</v>
      </c>
      <c r="O65" s="12"/>
      <c r="P65" s="12" t="s">
        <v>270</v>
      </c>
      <c r="Q65" s="12" t="s">
        <v>193</v>
      </c>
      <c r="R65" s="12" t="s">
        <v>193</v>
      </c>
      <c r="S65" s="12"/>
      <c r="T65" s="12" t="s">
        <v>194</v>
      </c>
      <c r="U65" s="12"/>
      <c r="V65" s="74"/>
      <c r="W65" s="12"/>
      <c r="X65" s="52"/>
      <c r="Y65" s="12"/>
      <c r="Z65" s="12"/>
      <c r="AA65" s="12"/>
      <c r="AB65" s="12"/>
      <c r="AC65" s="11">
        <v>1</v>
      </c>
      <c r="AD65" s="11">
        <v>9</v>
      </c>
      <c r="AE65" s="11">
        <v>10</v>
      </c>
      <c r="AF65" s="11"/>
      <c r="AG65" s="11"/>
      <c r="AH65" s="68">
        <v>1</v>
      </c>
      <c r="AI65" s="12"/>
      <c r="AJ65" s="12"/>
      <c r="AK65" s="12"/>
      <c r="AL65" s="12"/>
      <c r="AM65" s="12"/>
      <c r="AN65" s="11"/>
      <c r="AO65" s="12" t="s">
        <v>192</v>
      </c>
      <c r="AP65" s="12" t="s">
        <v>193</v>
      </c>
      <c r="AQ65" s="12" t="s">
        <v>193</v>
      </c>
      <c r="AR65" s="12" t="s">
        <v>194</v>
      </c>
      <c r="AS65" s="12"/>
      <c r="AT65" s="12"/>
      <c r="AU65" s="12"/>
      <c r="AV65" s="11"/>
      <c r="AW65" s="11"/>
      <c r="AX65" s="32" t="s">
        <v>13</v>
      </c>
    </row>
    <row r="66" spans="3:50" ht="52.2" x14ac:dyDescent="0.3">
      <c r="C66" s="89" t="s">
        <v>7</v>
      </c>
      <c r="D66" s="21" t="s">
        <v>287</v>
      </c>
      <c r="E66" s="31" t="s">
        <v>323</v>
      </c>
      <c r="F66" s="21" t="s">
        <v>100</v>
      </c>
      <c r="G66" s="21" t="s">
        <v>103</v>
      </c>
      <c r="H66" s="21" t="s">
        <v>275</v>
      </c>
      <c r="I66" s="77">
        <v>3208</v>
      </c>
      <c r="J66" s="12" t="s">
        <v>193</v>
      </c>
      <c r="K66" s="12" t="s">
        <v>193</v>
      </c>
      <c r="L66" s="12" t="s">
        <v>193</v>
      </c>
      <c r="M66" s="44">
        <v>46111</v>
      </c>
      <c r="N66" s="45">
        <v>46111</v>
      </c>
      <c r="O66" s="12"/>
      <c r="P66" s="12"/>
      <c r="Q66" s="12"/>
      <c r="R66" s="12" t="s">
        <v>193</v>
      </c>
      <c r="S66" s="12"/>
      <c r="T66" s="12" t="s">
        <v>194</v>
      </c>
      <c r="U66" s="12"/>
      <c r="V66" s="74"/>
      <c r="W66" s="12"/>
      <c r="X66" s="65" t="s">
        <v>333</v>
      </c>
      <c r="Y66" s="12"/>
      <c r="Z66" s="12"/>
      <c r="AA66" s="12"/>
      <c r="AB66" s="12"/>
      <c r="AC66" s="11"/>
      <c r="AD66" s="11"/>
      <c r="AE66" s="11"/>
      <c r="AF66" s="11"/>
      <c r="AG66" s="11"/>
      <c r="AH66" s="11"/>
      <c r="AI66" s="12"/>
      <c r="AJ66" s="12"/>
      <c r="AK66" s="12"/>
      <c r="AL66" s="12"/>
      <c r="AM66" s="12"/>
      <c r="AN66" s="11"/>
      <c r="AO66" s="12"/>
      <c r="AP66" s="12"/>
      <c r="AQ66" s="12"/>
      <c r="AR66" s="12" t="s">
        <v>194</v>
      </c>
      <c r="AS66" s="12"/>
      <c r="AT66" s="12"/>
      <c r="AU66" s="12"/>
      <c r="AV66" s="11"/>
      <c r="AW66" s="11"/>
      <c r="AX66" s="21" t="s">
        <v>13</v>
      </c>
    </row>
    <row r="67" spans="3:50" ht="69.599999999999994" x14ac:dyDescent="0.3">
      <c r="C67" s="87" t="s">
        <v>4</v>
      </c>
      <c r="D67" s="19" t="s">
        <v>269</v>
      </c>
      <c r="E67" s="19" t="s">
        <v>324</v>
      </c>
      <c r="F67" s="32" t="s">
        <v>100</v>
      </c>
      <c r="G67" s="19" t="s">
        <v>103</v>
      </c>
      <c r="H67" s="32" t="s">
        <v>275</v>
      </c>
      <c r="I67" s="77">
        <v>103681</v>
      </c>
      <c r="J67" s="12" t="s">
        <v>193</v>
      </c>
      <c r="K67" s="12" t="s">
        <v>193</v>
      </c>
      <c r="L67" s="12" t="s">
        <v>193</v>
      </c>
      <c r="M67" s="36">
        <v>46112</v>
      </c>
      <c r="N67" s="37">
        <v>46142</v>
      </c>
      <c r="O67" s="12"/>
      <c r="P67" s="12"/>
      <c r="Q67" s="12"/>
      <c r="R67" s="12" t="s">
        <v>193</v>
      </c>
      <c r="S67" s="12"/>
      <c r="T67" s="12" t="s">
        <v>194</v>
      </c>
      <c r="U67" s="12"/>
      <c r="V67" s="74"/>
      <c r="W67" s="12"/>
      <c r="X67" s="64"/>
      <c r="Y67" s="12"/>
      <c r="Z67" s="12"/>
      <c r="AA67" s="12"/>
      <c r="AB67" s="12"/>
      <c r="AC67" s="11"/>
      <c r="AD67" s="11"/>
      <c r="AE67" s="11"/>
      <c r="AF67" s="11"/>
      <c r="AG67" s="11"/>
      <c r="AH67" s="11"/>
      <c r="AI67" s="12"/>
      <c r="AJ67" s="12"/>
      <c r="AK67" s="12"/>
      <c r="AL67" s="12"/>
      <c r="AM67" s="12"/>
      <c r="AN67" s="11"/>
      <c r="AO67" s="12"/>
      <c r="AP67" s="12"/>
      <c r="AQ67" s="12"/>
      <c r="AR67" s="12" t="s">
        <v>194</v>
      </c>
      <c r="AS67" s="12"/>
      <c r="AT67" s="12"/>
      <c r="AU67" s="12"/>
      <c r="AV67" s="11"/>
      <c r="AW67" s="11"/>
      <c r="AX67" s="34" t="s">
        <v>16</v>
      </c>
    </row>
    <row r="68" spans="3:50" ht="52.2" x14ac:dyDescent="0.3">
      <c r="C68" s="87" t="s">
        <v>4</v>
      </c>
      <c r="D68" s="19" t="s">
        <v>260</v>
      </c>
      <c r="E68" s="30" t="s">
        <v>261</v>
      </c>
      <c r="F68" s="32" t="s">
        <v>100</v>
      </c>
      <c r="G68" s="19" t="s">
        <v>103</v>
      </c>
      <c r="H68" s="32" t="s">
        <v>275</v>
      </c>
      <c r="I68" s="77">
        <v>3207</v>
      </c>
      <c r="J68" s="12" t="s">
        <v>193</v>
      </c>
      <c r="K68" s="12" t="s">
        <v>193</v>
      </c>
      <c r="L68" s="12" t="s">
        <v>193</v>
      </c>
      <c r="M68" s="36">
        <v>46112</v>
      </c>
      <c r="N68" s="36">
        <v>46142</v>
      </c>
      <c r="O68" s="12"/>
      <c r="P68" s="12"/>
      <c r="Q68" s="12"/>
      <c r="R68" s="12" t="s">
        <v>193</v>
      </c>
      <c r="S68" s="12"/>
      <c r="T68" s="12" t="s">
        <v>193</v>
      </c>
      <c r="U68" s="12"/>
      <c r="V68" s="74"/>
      <c r="W68" s="12"/>
      <c r="X68" s="52" t="s">
        <v>331</v>
      </c>
      <c r="Y68" s="12"/>
      <c r="Z68" s="12"/>
      <c r="AA68" s="12"/>
      <c r="AB68" s="12"/>
      <c r="AC68" s="11"/>
      <c r="AD68" s="11"/>
      <c r="AE68" s="11"/>
      <c r="AF68" s="11"/>
      <c r="AG68" s="11"/>
      <c r="AH68" s="11"/>
      <c r="AI68" s="12"/>
      <c r="AJ68" s="12"/>
      <c r="AK68" s="12"/>
      <c r="AL68" s="12"/>
      <c r="AM68" s="12"/>
      <c r="AN68" s="11"/>
      <c r="AO68" s="12"/>
      <c r="AP68" s="12"/>
      <c r="AQ68" s="12"/>
      <c r="AR68" s="12" t="s">
        <v>194</v>
      </c>
      <c r="AS68" s="12"/>
      <c r="AT68" s="12"/>
      <c r="AU68" s="12"/>
      <c r="AV68" s="11"/>
      <c r="AW68" s="11"/>
      <c r="AX68" s="32" t="s">
        <v>15</v>
      </c>
    </row>
    <row r="69" spans="3:50" ht="52.2" x14ac:dyDescent="0.3">
      <c r="C69" s="87" t="s">
        <v>4</v>
      </c>
      <c r="D69" s="19" t="s">
        <v>293</v>
      </c>
      <c r="E69" s="27" t="s">
        <v>325</v>
      </c>
      <c r="F69" s="32" t="s">
        <v>88</v>
      </c>
      <c r="G69" s="19" t="s">
        <v>95</v>
      </c>
      <c r="H69" s="32" t="s">
        <v>262</v>
      </c>
      <c r="I69" s="77">
        <v>110425</v>
      </c>
      <c r="J69" s="12" t="s">
        <v>193</v>
      </c>
      <c r="K69" s="12" t="s">
        <v>193</v>
      </c>
      <c r="L69" s="12" t="s">
        <v>193</v>
      </c>
      <c r="M69" s="36">
        <v>45960</v>
      </c>
      <c r="N69" s="36" t="s">
        <v>296</v>
      </c>
      <c r="O69" s="12"/>
      <c r="P69" s="12" t="s">
        <v>270</v>
      </c>
      <c r="Q69" s="12" t="s">
        <v>193</v>
      </c>
      <c r="R69" s="12" t="s">
        <v>193</v>
      </c>
      <c r="S69" s="12"/>
      <c r="T69" s="12" t="s">
        <v>194</v>
      </c>
      <c r="U69" s="12"/>
      <c r="V69" s="74"/>
      <c r="W69" s="12"/>
      <c r="X69" s="60"/>
      <c r="Y69" s="12"/>
      <c r="Z69" s="12"/>
      <c r="AA69" s="12"/>
      <c r="AB69" s="12"/>
      <c r="AC69" s="11">
        <v>0</v>
      </c>
      <c r="AD69" s="11">
        <v>3</v>
      </c>
      <c r="AE69" s="11">
        <v>3</v>
      </c>
      <c r="AF69" s="11"/>
      <c r="AG69" s="11"/>
      <c r="AH69" s="68">
        <v>0</v>
      </c>
      <c r="AI69" s="12"/>
      <c r="AJ69" s="12"/>
      <c r="AK69" s="12"/>
      <c r="AL69" s="12"/>
      <c r="AM69" s="12"/>
      <c r="AN69" s="11"/>
      <c r="AO69" s="12" t="s">
        <v>194</v>
      </c>
      <c r="AP69" s="12" t="s">
        <v>194</v>
      </c>
      <c r="AQ69" s="12" t="s">
        <v>194</v>
      </c>
      <c r="AR69" s="12" t="s">
        <v>194</v>
      </c>
      <c r="AS69" s="12"/>
      <c r="AT69" s="12"/>
      <c r="AU69" s="12"/>
      <c r="AV69" s="11"/>
      <c r="AW69" s="11"/>
      <c r="AX69" s="34" t="s">
        <v>16</v>
      </c>
    </row>
    <row r="70" spans="3:50" ht="52.2" x14ac:dyDescent="0.3">
      <c r="C70" s="87" t="s">
        <v>4</v>
      </c>
      <c r="D70" s="19" t="s">
        <v>260</v>
      </c>
      <c r="E70" s="24" t="s">
        <v>261</v>
      </c>
      <c r="F70" s="32" t="s">
        <v>88</v>
      </c>
      <c r="G70" s="19" t="s">
        <v>103</v>
      </c>
      <c r="H70" s="32" t="s">
        <v>262</v>
      </c>
      <c r="I70" s="77">
        <v>54768</v>
      </c>
      <c r="J70" s="12" t="s">
        <v>193</v>
      </c>
      <c r="K70" s="12" t="s">
        <v>193</v>
      </c>
      <c r="L70" s="12" t="s">
        <v>193</v>
      </c>
      <c r="M70" s="36">
        <v>45961</v>
      </c>
      <c r="N70" s="36">
        <v>45991</v>
      </c>
      <c r="O70" s="12"/>
      <c r="P70" s="12" t="s">
        <v>270</v>
      </c>
      <c r="Q70" s="12" t="s">
        <v>193</v>
      </c>
      <c r="R70" s="12" t="s">
        <v>193</v>
      </c>
      <c r="S70" s="12"/>
      <c r="T70" s="12" t="s">
        <v>193</v>
      </c>
      <c r="U70" s="12"/>
      <c r="V70" s="74"/>
      <c r="W70" s="12"/>
      <c r="X70" s="64"/>
      <c r="Y70" s="12"/>
      <c r="Z70" s="12"/>
      <c r="AA70" s="12"/>
      <c r="AB70" s="12"/>
      <c r="AC70" s="11">
        <v>1</v>
      </c>
      <c r="AD70" s="11">
        <v>6</v>
      </c>
      <c r="AE70" s="11">
        <v>7</v>
      </c>
      <c r="AF70" s="11"/>
      <c r="AG70" s="11"/>
      <c r="AH70" s="68">
        <v>0</v>
      </c>
      <c r="AI70" s="12"/>
      <c r="AJ70" s="12"/>
      <c r="AK70" s="12"/>
      <c r="AL70" s="12"/>
      <c r="AM70" s="12"/>
      <c r="AN70" s="11"/>
      <c r="AO70" s="12" t="s">
        <v>194</v>
      </c>
      <c r="AP70" s="12" t="s">
        <v>194</v>
      </c>
      <c r="AQ70" s="12" t="s">
        <v>194</v>
      </c>
      <c r="AR70" s="12" t="s">
        <v>194</v>
      </c>
      <c r="AS70" s="12"/>
      <c r="AT70" s="12"/>
      <c r="AU70" s="12"/>
      <c r="AV70" s="11"/>
      <c r="AW70" s="11"/>
      <c r="AX70" s="34" t="s">
        <v>16</v>
      </c>
    </row>
    <row r="71" spans="3:50" x14ac:dyDescent="0.3">
      <c r="W71" s="12"/>
    </row>
    <row r="72" spans="3:50" x14ac:dyDescent="0.3">
      <c r="W72" s="12"/>
    </row>
    <row r="73" spans="3:50" x14ac:dyDescent="0.3">
      <c r="W73" s="12"/>
    </row>
    <row r="74" spans="3:50" x14ac:dyDescent="0.3">
      <c r="W74" s="12"/>
    </row>
    <row r="75" spans="3:50" x14ac:dyDescent="0.3">
      <c r="W75" s="12"/>
    </row>
    <row r="76" spans="3:50" x14ac:dyDescent="0.3">
      <c r="W76" s="12"/>
    </row>
    <row r="77" spans="3:50" x14ac:dyDescent="0.3">
      <c r="W77" s="12"/>
    </row>
    <row r="78" spans="3:50" x14ac:dyDescent="0.3">
      <c r="W78" s="12"/>
    </row>
    <row r="79" spans="3:50" x14ac:dyDescent="0.3">
      <c r="W79" s="12"/>
    </row>
    <row r="80" spans="3:50" x14ac:dyDescent="0.3">
      <c r="W80" s="12"/>
    </row>
    <row r="81" spans="23:23" x14ac:dyDescent="0.3">
      <c r="W81" s="12"/>
    </row>
    <row r="82" spans="23:23" x14ac:dyDescent="0.3">
      <c r="W82" s="12"/>
    </row>
    <row r="83" spans="23:23" x14ac:dyDescent="0.3">
      <c r="W83" s="12"/>
    </row>
  </sheetData>
  <mergeCells count="15">
    <mergeCell ref="O3:X4"/>
    <mergeCell ref="J8:Q8"/>
    <mergeCell ref="X8:AA8"/>
    <mergeCell ref="AB8:AB9"/>
    <mergeCell ref="AC8:AH8"/>
    <mergeCell ref="AO8:AR8"/>
    <mergeCell ref="AS8:AU8"/>
    <mergeCell ref="C9:I9"/>
    <mergeCell ref="J9:Q9"/>
    <mergeCell ref="V9:AA9"/>
    <mergeCell ref="AC9:AH9"/>
    <mergeCell ref="AI9:AN9"/>
    <mergeCell ref="AO9:AR9"/>
    <mergeCell ref="AS9:AU9"/>
    <mergeCell ref="AI8:AN8"/>
  </mergeCells>
  <conditionalFormatting sqref="M11:M67 M69 M70:N70">
    <cfRule type="containsText" dxfId="2" priority="1" operator="containsText" text="En Proceso">
      <formula>NOT(ISERROR(SEARCH("En Proceso",M11)))</formula>
    </cfRule>
    <cfRule type="containsText" dxfId="1" priority="2" operator="containsText" text="No">
      <formula>NOT(ISERROR(SEARCH("No",M11)))</formula>
    </cfRule>
    <cfRule type="containsText" dxfId="0" priority="3" operator="containsText" text="SI">
      <formula>NOT(ISERROR(SEARCH("SI",M11)))</formula>
    </cfRule>
  </conditionalFormatting>
  <dataValidations count="5">
    <dataValidation type="list" allowBlank="1" showInputMessage="1" showErrorMessage="1" sqref="W71:W83" xr:uid="{F528C7BA-3173-4B2D-AC52-B426CC0A5FAE}">
      <formula1>$J$4:$J$6</formula1>
    </dataValidation>
    <dataValidation type="list" allowBlank="1" showInputMessage="1" showErrorMessage="1" sqref="D11:D70" xr:uid="{61DB3FB0-256C-4F18-A7E0-FE3C8CC728FE}">
      <formula1>INDIRECT($B11)</formula1>
    </dataValidation>
    <dataValidation type="list" allowBlank="1" showInputMessage="1" showErrorMessage="1" sqref="F11:F70" xr:uid="{31F24AC4-62B0-4FE9-A5B9-9ECEC328BA53}">
      <formula1>"Presencial,Virtual,Híbrido"</formula1>
    </dataValidation>
    <dataValidation type="list" allowBlank="1" showInputMessage="1" showErrorMessage="1" sqref="G11:G70" xr:uid="{E92F273F-2882-47A7-A873-4193BAFE6A42}">
      <formula1>"Técnico,Tecnológico,Profesional,Especialización,Maestría,Doctorado"</formula1>
    </dataValidation>
    <dataValidation type="list" allowBlank="1" showInputMessage="1" showErrorMessage="1" sqref="H11:H70" xr:uid="{2863BA59-110E-4E23-B45B-7ABC00891A03}">
      <formula1>"Bogotá,Medellín,Nacional"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B0E3-701B-45AE-AB79-3AAE71B2CA0C}">
  <sheetPr codeName="Hoja12"/>
  <dimension ref="A2:T31"/>
  <sheetViews>
    <sheetView workbookViewId="0">
      <selection activeCell="A2" sqref="A2:C2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2" spans="1:20" ht="72" x14ac:dyDescent="0.3">
      <c r="A2" s="432" t="s">
        <v>334</v>
      </c>
      <c r="B2" s="432"/>
      <c r="C2" s="432"/>
      <c r="D2" t="s">
        <v>335</v>
      </c>
      <c r="E2" s="432" t="s">
        <v>336</v>
      </c>
      <c r="F2" s="432"/>
      <c r="G2" s="175" t="s">
        <v>199</v>
      </c>
      <c r="H2" s="431" t="s">
        <v>337</v>
      </c>
      <c r="I2" s="431"/>
      <c r="J2" s="431"/>
      <c r="K2" s="431" t="s">
        <v>23</v>
      </c>
      <c r="L2" s="432"/>
      <c r="M2" s="432"/>
      <c r="N2" s="431" t="s">
        <v>338</v>
      </c>
      <c r="O2" s="432"/>
      <c r="P2" s="432"/>
      <c r="Q2" s="433"/>
      <c r="R2" s="431" t="s">
        <v>211</v>
      </c>
      <c r="S2" s="432"/>
    </row>
    <row r="3" spans="1:20" ht="86.4" x14ac:dyDescent="0.3">
      <c r="A3" s="83" t="s">
        <v>224</v>
      </c>
      <c r="B3" s="83" t="s">
        <v>226</v>
      </c>
      <c r="C3" s="83" t="s">
        <v>205</v>
      </c>
      <c r="D3" s="83" t="s">
        <v>158</v>
      </c>
      <c r="E3" s="174" t="s">
        <v>234</v>
      </c>
      <c r="F3" s="174" t="s">
        <v>235</v>
      </c>
      <c r="G3" s="72" t="s">
        <v>241</v>
      </c>
      <c r="H3" s="84" t="s">
        <v>231</v>
      </c>
      <c r="I3" s="84" t="s">
        <v>244</v>
      </c>
      <c r="J3" s="84" t="s">
        <v>160</v>
      </c>
      <c r="K3" s="85" t="s">
        <v>159</v>
      </c>
      <c r="L3" s="85" t="s">
        <v>248</v>
      </c>
      <c r="M3" s="86" t="s">
        <v>247</v>
      </c>
      <c r="N3" s="86" t="s">
        <v>253</v>
      </c>
      <c r="O3" s="86" t="s">
        <v>254</v>
      </c>
      <c r="P3" s="173" t="s">
        <v>256</v>
      </c>
      <c r="Q3" s="85" t="s">
        <v>255</v>
      </c>
      <c r="R3" s="86" t="s">
        <v>258</v>
      </c>
      <c r="S3" s="86" t="s">
        <v>246</v>
      </c>
      <c r="T3" s="86" t="s">
        <v>214</v>
      </c>
    </row>
    <row r="7" spans="1:20" x14ac:dyDescent="0.3">
      <c r="A7" t="s">
        <v>339</v>
      </c>
    </row>
    <row r="8" spans="1:20" x14ac:dyDescent="0.3">
      <c r="A8" t="s">
        <v>340</v>
      </c>
    </row>
    <row r="9" spans="1:20" x14ac:dyDescent="0.3">
      <c r="A9" t="s">
        <v>341</v>
      </c>
    </row>
    <row r="12" spans="1:20" x14ac:dyDescent="0.3">
      <c r="A12" s="177" t="s">
        <v>334</v>
      </c>
      <c r="B12" s="83" t="s">
        <v>224</v>
      </c>
    </row>
    <row r="13" spans="1:20" ht="28.8" x14ac:dyDescent="0.3">
      <c r="A13" s="177" t="s">
        <v>334</v>
      </c>
      <c r="B13" s="83" t="s">
        <v>226</v>
      </c>
    </row>
    <row r="14" spans="1:20" ht="28.8" x14ac:dyDescent="0.3">
      <c r="A14" s="177" t="s">
        <v>334</v>
      </c>
      <c r="B14" s="83" t="s">
        <v>205</v>
      </c>
    </row>
    <row r="15" spans="1:20" x14ac:dyDescent="0.3">
      <c r="A15" s="76" t="s">
        <v>335</v>
      </c>
      <c r="B15" s="83" t="s">
        <v>158</v>
      </c>
    </row>
    <row r="16" spans="1:20" x14ac:dyDescent="0.3">
      <c r="A16" s="177" t="s">
        <v>336</v>
      </c>
      <c r="B16" s="174" t="s">
        <v>234</v>
      </c>
    </row>
    <row r="17" spans="1:2" x14ac:dyDescent="0.3">
      <c r="A17" s="177" t="s">
        <v>336</v>
      </c>
      <c r="B17" s="174" t="s">
        <v>235</v>
      </c>
    </row>
    <row r="18" spans="1:2" ht="28.8" x14ac:dyDescent="0.3">
      <c r="A18" s="168" t="s">
        <v>199</v>
      </c>
      <c r="B18" s="72" t="s">
        <v>241</v>
      </c>
    </row>
    <row r="19" spans="1:2" x14ac:dyDescent="0.3">
      <c r="A19" s="177" t="s">
        <v>337</v>
      </c>
      <c r="B19" s="84" t="s">
        <v>231</v>
      </c>
    </row>
    <row r="20" spans="1:2" x14ac:dyDescent="0.3">
      <c r="A20" s="177" t="s">
        <v>337</v>
      </c>
      <c r="B20" s="84" t="s">
        <v>244</v>
      </c>
    </row>
    <row r="21" spans="1:2" x14ac:dyDescent="0.3">
      <c r="A21" s="177" t="s">
        <v>337</v>
      </c>
      <c r="B21" s="84" t="s">
        <v>160</v>
      </c>
    </row>
    <row r="22" spans="1:2" x14ac:dyDescent="0.3">
      <c r="A22" s="76" t="s">
        <v>23</v>
      </c>
      <c r="B22" s="85" t="s">
        <v>159</v>
      </c>
    </row>
    <row r="23" spans="1:2" ht="28.8" x14ac:dyDescent="0.3">
      <c r="A23" s="76" t="s">
        <v>23</v>
      </c>
      <c r="B23" s="85" t="s">
        <v>248</v>
      </c>
    </row>
    <row r="24" spans="1:2" x14ac:dyDescent="0.3">
      <c r="A24" s="76" t="s">
        <v>23</v>
      </c>
      <c r="B24" s="86" t="s">
        <v>247</v>
      </c>
    </row>
    <row r="25" spans="1:2" x14ac:dyDescent="0.3">
      <c r="A25" s="76" t="s">
        <v>338</v>
      </c>
      <c r="B25" s="86" t="s">
        <v>253</v>
      </c>
    </row>
    <row r="26" spans="1:2" x14ac:dyDescent="0.3">
      <c r="A26" s="76" t="s">
        <v>338</v>
      </c>
      <c r="B26" s="86" t="s">
        <v>254</v>
      </c>
    </row>
    <row r="27" spans="1:2" x14ac:dyDescent="0.3">
      <c r="A27" s="76" t="s">
        <v>338</v>
      </c>
      <c r="B27" s="173" t="s">
        <v>256</v>
      </c>
    </row>
    <row r="28" spans="1:2" x14ac:dyDescent="0.3">
      <c r="A28" s="76" t="s">
        <v>338</v>
      </c>
      <c r="B28" s="85" t="s">
        <v>255</v>
      </c>
    </row>
    <row r="29" spans="1:2" x14ac:dyDescent="0.3">
      <c r="A29" t="s">
        <v>211</v>
      </c>
      <c r="B29" s="86" t="s">
        <v>258</v>
      </c>
    </row>
    <row r="30" spans="1:2" x14ac:dyDescent="0.3">
      <c r="A30" t="s">
        <v>211</v>
      </c>
      <c r="B30" s="86" t="s">
        <v>246</v>
      </c>
    </row>
    <row r="31" spans="1:2" x14ac:dyDescent="0.3">
      <c r="A31" t="s">
        <v>211</v>
      </c>
      <c r="B31" s="86" t="s">
        <v>214</v>
      </c>
    </row>
  </sheetData>
  <mergeCells count="6">
    <mergeCell ref="R2:S2"/>
    <mergeCell ref="A2:C2"/>
    <mergeCell ref="E2:F2"/>
    <mergeCell ref="H2:J2"/>
    <mergeCell ref="K2:M2"/>
    <mergeCell ref="N2: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B875-7ADC-4741-BE27-E237F70F3A60}">
  <sheetPr codeName="Hoja13"/>
  <dimension ref="A1:D21"/>
  <sheetViews>
    <sheetView workbookViewId="0">
      <selection activeCell="A2" sqref="A2:B5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1" spans="1:4" x14ac:dyDescent="0.3">
      <c r="A1" s="178" t="s">
        <v>342</v>
      </c>
      <c r="B1" s="178" t="s">
        <v>147</v>
      </c>
    </row>
    <row r="2" spans="1:4" x14ac:dyDescent="0.3">
      <c r="A2" s="177" t="s">
        <v>334</v>
      </c>
      <c r="B2" s="179" t="s">
        <v>343</v>
      </c>
    </row>
    <row r="3" spans="1:4" x14ac:dyDescent="0.3">
      <c r="A3" s="177" t="s">
        <v>334</v>
      </c>
      <c r="B3" s="179" t="s">
        <v>344</v>
      </c>
    </row>
    <row r="4" spans="1:4" x14ac:dyDescent="0.3">
      <c r="A4" s="177" t="s">
        <v>334</v>
      </c>
      <c r="B4" s="179" t="s">
        <v>205</v>
      </c>
      <c r="D4" t="s">
        <v>339</v>
      </c>
    </row>
    <row r="5" spans="1:4" x14ac:dyDescent="0.3">
      <c r="A5" s="177" t="s">
        <v>345</v>
      </c>
      <c r="B5" s="179" t="s">
        <v>346</v>
      </c>
      <c r="D5" t="s">
        <v>340</v>
      </c>
    </row>
    <row r="6" spans="1:4" x14ac:dyDescent="0.3">
      <c r="A6" s="177" t="s">
        <v>347</v>
      </c>
      <c r="B6" s="179" t="s">
        <v>234</v>
      </c>
      <c r="D6" t="s">
        <v>341</v>
      </c>
    </row>
    <row r="7" spans="1:4" x14ac:dyDescent="0.3">
      <c r="A7" s="177" t="s">
        <v>347</v>
      </c>
      <c r="B7" s="179" t="s">
        <v>235</v>
      </c>
    </row>
    <row r="8" spans="1:4" ht="28.8" x14ac:dyDescent="0.3">
      <c r="A8" s="177" t="s">
        <v>348</v>
      </c>
      <c r="B8" s="179" t="s">
        <v>349</v>
      </c>
    </row>
    <row r="9" spans="1:4" x14ac:dyDescent="0.3">
      <c r="A9" s="177" t="s">
        <v>350</v>
      </c>
      <c r="B9" s="179" t="s">
        <v>231</v>
      </c>
    </row>
    <row r="10" spans="1:4" x14ac:dyDescent="0.3">
      <c r="A10" s="177" t="s">
        <v>350</v>
      </c>
      <c r="B10" s="179" t="s">
        <v>351</v>
      </c>
    </row>
    <row r="11" spans="1:4" x14ac:dyDescent="0.3">
      <c r="A11" s="177" t="s">
        <v>350</v>
      </c>
      <c r="B11" s="179" t="s">
        <v>160</v>
      </c>
    </row>
    <row r="12" spans="1:4" x14ac:dyDescent="0.3">
      <c r="A12" s="177" t="s">
        <v>352</v>
      </c>
      <c r="B12" s="179" t="s">
        <v>159</v>
      </c>
    </row>
    <row r="13" spans="1:4" ht="28.8" x14ac:dyDescent="0.3">
      <c r="A13" s="177" t="s">
        <v>352</v>
      </c>
      <c r="B13" s="179" t="s">
        <v>248</v>
      </c>
    </row>
    <row r="14" spans="1:4" x14ac:dyDescent="0.3">
      <c r="A14" s="177" t="s">
        <v>352</v>
      </c>
      <c r="B14" s="179" t="s">
        <v>247</v>
      </c>
    </row>
    <row r="15" spans="1:4" x14ac:dyDescent="0.3">
      <c r="A15" s="177" t="s">
        <v>353</v>
      </c>
      <c r="B15" s="179" t="s">
        <v>354</v>
      </c>
    </row>
    <row r="16" spans="1:4" x14ac:dyDescent="0.3">
      <c r="A16" s="177" t="s">
        <v>353</v>
      </c>
      <c r="B16" s="179" t="s">
        <v>355</v>
      </c>
    </row>
    <row r="17" spans="1:2" x14ac:dyDescent="0.3">
      <c r="A17" s="177" t="s">
        <v>353</v>
      </c>
      <c r="B17" s="179" t="s">
        <v>356</v>
      </c>
    </row>
    <row r="18" spans="1:2" x14ac:dyDescent="0.3">
      <c r="A18" s="177" t="s">
        <v>353</v>
      </c>
      <c r="B18" s="179" t="s">
        <v>357</v>
      </c>
    </row>
    <row r="19" spans="1:2" x14ac:dyDescent="0.3">
      <c r="A19" s="177" t="s">
        <v>358</v>
      </c>
      <c r="B19" s="179" t="s">
        <v>359</v>
      </c>
    </row>
    <row r="20" spans="1:2" x14ac:dyDescent="0.3">
      <c r="A20" s="177" t="s">
        <v>358</v>
      </c>
      <c r="B20" s="179" t="s">
        <v>360</v>
      </c>
    </row>
    <row r="21" spans="1:2" x14ac:dyDescent="0.3">
      <c r="A21" s="177" t="s">
        <v>358</v>
      </c>
      <c r="B21" s="179" t="s">
        <v>361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A1AD-5F60-4CF2-9381-F579E93FA4C9}">
  <sheetPr codeName="Hoja14"/>
  <dimension ref="A1:C5"/>
  <sheetViews>
    <sheetView workbookViewId="0"/>
  </sheetViews>
  <sheetFormatPr baseColWidth="10" defaultColWidth="11.44140625" defaultRowHeight="14.4" x14ac:dyDescent="0.3"/>
  <sheetData>
    <row r="1" spans="1:3" x14ac:dyDescent="0.3">
      <c r="A1" t="s">
        <v>362</v>
      </c>
      <c r="B1" t="s">
        <v>3</v>
      </c>
      <c r="C1" t="s">
        <v>8</v>
      </c>
    </row>
    <row r="2" spans="1:3" x14ac:dyDescent="0.3">
      <c r="A2" t="s">
        <v>100</v>
      </c>
      <c r="B2" t="s">
        <v>4</v>
      </c>
      <c r="C2" t="s">
        <v>14</v>
      </c>
    </row>
    <row r="3" spans="1:3" x14ac:dyDescent="0.3">
      <c r="A3" t="s">
        <v>88</v>
      </c>
      <c r="B3" t="s">
        <v>10</v>
      </c>
      <c r="C3" t="s">
        <v>15</v>
      </c>
    </row>
    <row r="4" spans="1:3" x14ac:dyDescent="0.3">
      <c r="A4" t="s">
        <v>6</v>
      </c>
      <c r="B4" t="s">
        <v>7</v>
      </c>
      <c r="C4" t="s">
        <v>16</v>
      </c>
    </row>
    <row r="5" spans="1:3" x14ac:dyDescent="0.3">
      <c r="C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53C3A3428B1B4A9D164F0D85BEEA57" ma:contentTypeVersion="3" ma:contentTypeDescription="Crear nuevo documento." ma:contentTypeScope="" ma:versionID="1b756714394f243dc1e59234ebaea7ae">
  <xsd:schema xmlns:xsd="http://www.w3.org/2001/XMLSchema" xmlns:xs="http://www.w3.org/2001/XMLSchema" xmlns:p="http://schemas.microsoft.com/office/2006/metadata/properties" xmlns:ns2="fc092c77-77a9-40ad-ae14-39067143678a" targetNamespace="http://schemas.microsoft.com/office/2006/metadata/properties" ma:root="true" ma:fieldsID="47b6ece98d39c8f8132b14d131b38829" ns2:_="">
    <xsd:import namespace="fc092c77-77a9-40ad-ae14-390671436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92c77-77a9-40ad-ae14-390671436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A9B3D-0DA4-4009-82C0-0694809F88AF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c092c77-77a9-40ad-ae14-39067143678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88112FF-E6D9-4EFB-A2F0-A6CBF29F2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092c77-77a9-40ad-ae14-3906714367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ABF450-D662-42F6-AC20-132C11E154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Ejecutivo</vt:lpstr>
      <vt:lpstr>Dashboard</vt:lpstr>
      <vt:lpstr>Maestro</vt:lpstr>
      <vt:lpstr>Etapas</vt:lpstr>
      <vt:lpstr>Checklist</vt:lpstr>
      <vt:lpstr>Borrador (2)</vt:lpstr>
      <vt:lpstr>Hoja1</vt:lpstr>
      <vt:lpstr>Estructura</vt:lpstr>
      <vt:lpstr>_Listas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MAESTRO DE REFORMA CURRICULAR</dc:title>
  <dc:subject/>
  <dc:creator>Miguel Angel Lopez Triana</dc:creator>
  <cp:keywords/>
  <dc:description/>
  <cp:lastModifiedBy>Ximena Silva</cp:lastModifiedBy>
  <cp:revision/>
  <dcterms:created xsi:type="dcterms:W3CDTF">2026-03-06T12:43:47Z</dcterms:created>
  <dcterms:modified xsi:type="dcterms:W3CDTF">2026-05-15T07:10:05Z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0x0101009D53C3A3428B1B4A9D164F0D85BEEA57</vt:lpwstr>
  </property>
</Properties>
</file>